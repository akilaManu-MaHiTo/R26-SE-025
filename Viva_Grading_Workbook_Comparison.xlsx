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rking" sheetId="2" state="visible" r:id="rId2"/>
    <sheet xmlns:r="http://schemas.openxmlformats.org/officeDocument/2006/relationships" name="System" sheetId="3" state="visible" r:id="rId3"/>
    <sheet xmlns:r="http://schemas.openxmlformats.org/officeDocument/2006/relationships" name="Comparison" sheetId="4" state="visible" r:id="rId4"/>
    <sheet xmlns:r="http://schemas.openxmlformats.org/officeDocument/2006/relationships" name="Reference" sheetId="5" state="visible" r:id="rId5"/>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b val="1"/>
      <color rgb="001F3A5F"/>
      <sz val="18"/>
    </font>
    <font>
      <color rgb="00595959"/>
    </font>
    <font>
      <b val="1"/>
      <color rgb="001F3A5F"/>
      <sz val="12"/>
    </font>
    <font>
      <b val="1"/>
      <color rgb="001F3A5F"/>
      <sz val="14"/>
    </font>
    <font>
      <b val="1"/>
    </font>
    <font>
      <b val="1"/>
      <color rgb="00FFFFFF"/>
    </font>
    <font>
      <b val="1"/>
      <color rgb="001F3A5F"/>
      <sz val="13"/>
    </font>
  </fonts>
  <fills count="7">
    <fill>
      <patternFill/>
    </fill>
    <fill>
      <patternFill patternType="gray125"/>
    </fill>
    <fill>
      <patternFill patternType="solid">
        <fgColor rgb="00FFF9DB"/>
      </patternFill>
    </fill>
    <fill>
      <patternFill patternType="solid">
        <fgColor rgb="00D9E2F3"/>
      </patternFill>
    </fill>
    <fill>
      <patternFill patternType="solid">
        <fgColor rgb="001F3A5F"/>
      </patternFill>
    </fill>
    <fill>
      <patternFill patternType="solid">
        <fgColor rgb="00EDEDED"/>
      </patternFill>
    </fill>
    <fill>
      <patternFill patternType="solid">
        <fgColor rgb="00E2EFD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2" borderId="0" pivotButton="0" quotePrefix="0" xfId="0"/>
    <xf numFmtId="0" fontId="5" fillId="3" borderId="1" applyAlignment="1" pivotButton="0" quotePrefix="0" xfId="0">
      <alignment horizontal="center"/>
    </xf>
    <xf numFmtId="0" fontId="6" fillId="4" borderId="1" applyAlignment="1" pivotButton="0" quotePrefix="0" xfId="0">
      <alignment horizontal="center" vertical="center" wrapText="1"/>
    </xf>
    <xf numFmtId="0" fontId="0" fillId="2" borderId="1" applyAlignment="1" pivotButton="0" quotePrefix="0" xfId="0">
      <alignment horizontal="center" vertical="center"/>
    </xf>
    <xf numFmtId="0" fontId="0" fillId="5" borderId="1" applyAlignment="1" pivotButton="0" quotePrefix="0" xfId="0">
      <alignment horizontal="center" vertical="center"/>
    </xf>
    <xf numFmtId="0" fontId="5" fillId="6" borderId="1" applyAlignment="1" pivotButton="0" quotePrefix="0" xfId="0">
      <alignment horizontal="center" vertical="center"/>
    </xf>
    <xf numFmtId="0" fontId="0" fillId="2" borderId="1" applyAlignment="1" pivotButton="0" quotePrefix="0" xfId="0">
      <alignment horizontal="center" vertical="center" wrapText="1"/>
    </xf>
    <xf numFmtId="0" fontId="6" fillId="4" borderId="1" applyAlignment="1" pivotButton="0" quotePrefix="0" xfId="0">
      <alignment horizontal="center" wrapText="1"/>
    </xf>
    <xf numFmtId="0" fontId="0" fillId="5" borderId="1" applyAlignment="1" pivotButton="0" quotePrefix="0" xfId="0">
      <alignment horizontal="center"/>
    </xf>
    <xf numFmtId="0" fontId="0" fillId="2" borderId="1" applyAlignment="1" pivotButton="0" quotePrefix="0" xfId="0">
      <alignment horizontal="center"/>
    </xf>
    <xf numFmtId="0" fontId="7" fillId="0" borderId="0" pivotButton="0" quotePrefix="0" xfId="0"/>
    <xf numFmtId="1" fontId="5" fillId="6" borderId="1" pivotButton="0" quotePrefix="0" xfId="0"/>
    <xf numFmtId="2" fontId="5" fillId="6" borderId="1" pivotButton="0" quotePrefix="0" xfId="0"/>
    <xf numFmtId="164" fontId="5" fillId="6" borderId="1" pivotButton="0" quotePrefix="0" xfId="0"/>
    <xf numFmtId="165" fontId="5" fillId="6" borderId="1" pivotButton="0" quotePrefix="0" xfId="0"/>
    <xf numFmtId="0" fontId="6" fillId="4" borderId="1" applyAlignment="1" pivotButton="0" quotePrefix="0" xfId="0">
      <alignment horizontal="center"/>
    </xf>
    <xf numFmtId="0" fontId="5"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Viva Grading Workbook</t>
        </is>
      </c>
    </row>
    <row r="2">
      <c r="A2" s="2" t="inlineStr">
        <is>
          <t>R26-SE-025  |  SLIIT  |  Automated Viva Assessment System validation</t>
        </is>
      </c>
    </row>
    <row r="3">
      <c r="A3" s="3" t="inlineStr"/>
    </row>
    <row r="4">
      <c r="A4" s="4" t="inlineStr">
        <is>
          <t>How to use</t>
        </is>
      </c>
    </row>
    <row r="5">
      <c r="A5" s="3" t="inlineStr">
        <is>
          <t>1. Go to the "Marking" sheet. Fill ONE ROW PER RECORDED VIVA. Only the yellow cells are for you; grey cells calculate automatically.</t>
        </is>
      </c>
    </row>
    <row r="6">
      <c r="A6" s="3" t="inlineStr">
        <is>
          <t>2. Mark each recording independently, from what you see and hear, using the Viva Marking Sheet anchors (0-10 per item).</t>
        </is>
      </c>
    </row>
    <row r="7">
      <c r="A7" s="3" t="inlineStr">
        <is>
          <t>3. For Component C, enter the pace band and the tallies you counted (hedge phrases, filler words, silences over 2 seconds) and the approximate % of sentences completed. The sheet converts them with the same formulas as the system.</t>
        </is>
      </c>
    </row>
    <row r="8">
      <c r="A8" s="3" t="inlineStr">
        <is>
          <t>4. If you cannot judge an item, leave it blank. Blank items are left out of the average, exactly as the system leaves out unavailable signals.</t>
        </is>
      </c>
    </row>
    <row r="9">
      <c r="A9" s="3" t="inlineStr">
        <is>
          <t>5. Enter the Technical accuracy mark (/10) only if you choose the mode "With technical accuracy".</t>
        </is>
      </c>
    </row>
    <row r="10">
      <c r="A10" s="3" t="inlineStr">
        <is>
          <t>6. Give your Holistic mark (/100) from your overall impression, without using the formulas, and say whether you would publish the system mark.</t>
        </is>
      </c>
    </row>
    <row r="11">
      <c r="A11" s="3" t="inlineStr"/>
    </row>
    <row r="12">
      <c r="A12" s="4" t="inlineStr">
        <is>
          <t>How the final mark is calculated (same as the system)</t>
        </is>
      </c>
    </row>
    <row r="13">
      <c r="A13" s="3" t="inlineStr">
        <is>
          <t>Component A (Engagement) = average of A1-A5 x 10</t>
        </is>
      </c>
    </row>
    <row r="14">
      <c r="A14" s="3" t="inlineStr">
        <is>
          <t>Component B (Voice quality) = (B1 + B2 + B3 + 0.5 x B4) / 3.5 x 10   (emotional tone counts half)</t>
        </is>
      </c>
    </row>
    <row r="15">
      <c r="A15" s="3" t="inlineStr">
        <is>
          <t>Component C (Speech delivery) = average of pace, hedge, filler, long-pause and completion scores x 10</t>
        </is>
      </c>
    </row>
    <row r="16">
      <c r="A16" s="3" t="inlineStr">
        <is>
          <t>AI-equivalent mark = average of the components that have marks</t>
        </is>
      </c>
    </row>
    <row r="17">
      <c r="A17" s="3" t="inlineStr">
        <is>
          <t>Without technical accuracy: Final = AI-equivalent.   With technical accuracy: Final = 0.5 x AI-equivalent + 0.5 x (Technical / 10 x 100)</t>
        </is>
      </c>
    </row>
    <row r="18">
      <c r="A18" s="3" t="inlineStr">
        <is>
          <t>Grades: A+ 90-100, A 80-89, B+ 70-79, B 60-69, C+ 50-59, C 40-49, F below 40</t>
        </is>
      </c>
    </row>
    <row r="19">
      <c r="A19" s="3" t="inlineStr"/>
    </row>
    <row r="20">
      <c r="A20" s="4" t="inlineStr">
        <is>
          <t>Quality gate</t>
        </is>
      </c>
    </row>
    <row r="21">
      <c r="A21" s="3" t="inlineStr">
        <is>
          <t>If a recording has no usable face, the student does not speak, or more than one person is in frame, the system gives no mark. Write the reason in Comments and leave the marks blank.</t>
        </is>
      </c>
    </row>
    <row r="22">
      <c r="A22" s="3" t="inlineStr"/>
    </row>
    <row r="23">
      <c r="A23" s="4" t="inlineStr">
        <is>
          <t>Researcher notes (comparison workbook)</t>
        </is>
      </c>
    </row>
    <row r="24">
      <c r="A24" s="3" t="inlineStr">
        <is>
          <t>Sheet "Marking": the lecturer's marks. Sheet "System": paste the system results for the same Video IDs (Viva Assessment page). Sheet "Comparison": gaps and summary statistics fill in automatically.</t>
        </is>
      </c>
    </row>
    <row r="25">
      <c r="A25" s="3" t="inlineStr">
        <is>
          <t>Run each video through the system with the same scorer version (v1.2) and keep the same Video ID in both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22" customWidth="1" min="31" max="31"/>
    <col width="40" customWidth="1" min="32" max="32"/>
  </cols>
  <sheetData>
    <row r="1">
      <c r="A1" s="5" t="inlineStr">
        <is>
          <t>Viva Marking - examiner marks (one row per recorded viva)</t>
        </is>
      </c>
    </row>
    <row r="2">
      <c r="A2" s="6" t="inlineStr">
        <is>
          <t>Examiner:</t>
        </is>
      </c>
      <c r="B2" s="7" t="n"/>
      <c r="C2" s="6" t="inlineStr">
        <is>
          <t>Date:</t>
        </is>
      </c>
      <c r="D2" s="7" t="n"/>
    </row>
    <row r="3">
      <c r="A3" s="8" t="inlineStr">
        <is>
          <t>Recording</t>
        </is>
      </c>
      <c r="B3" s="8" t="n"/>
      <c r="C3" s="8" t="n"/>
      <c r="D3" s="8" t="inlineStr">
        <is>
          <t>A. Engagement  (items 0-10)</t>
        </is>
      </c>
      <c r="E3" s="8" t="n"/>
      <c r="F3" s="8" t="n"/>
      <c r="G3" s="8" t="n"/>
      <c r="H3" s="8" t="n"/>
      <c r="I3" s="8" t="n"/>
      <c r="J3" s="8" t="inlineStr">
        <is>
          <t>B. Voice quality  (items 0-10)</t>
        </is>
      </c>
      <c r="K3" s="8" t="n"/>
      <c r="L3" s="8" t="n"/>
      <c r="M3" s="8" t="n"/>
      <c r="N3" s="8" t="n"/>
      <c r="O3" s="8" t="inlineStr">
        <is>
          <t>C. Speech delivery  (tallies and converted scores)</t>
        </is>
      </c>
      <c r="P3" s="8" t="n"/>
      <c r="Q3" s="8" t="n"/>
      <c r="R3" s="8" t="n"/>
      <c r="S3" s="8" t="n"/>
      <c r="T3" s="8" t="n"/>
      <c r="U3" s="8" t="n"/>
      <c r="V3" s="8" t="n"/>
      <c r="W3" s="8" t="n"/>
      <c r="X3" s="8" t="n"/>
      <c r="Y3" s="8" t="n"/>
      <c r="Z3" s="8" t="inlineStr">
        <is>
          <t>Final</t>
        </is>
      </c>
      <c r="AA3" s="8" t="n"/>
      <c r="AB3" s="8" t="n"/>
      <c r="AC3" s="8" t="n"/>
      <c r="AD3" s="8" t="inlineStr">
        <is>
          <t>Examiner judgement</t>
        </is>
      </c>
      <c r="AE3" s="8" t="n"/>
      <c r="AF3" s="8" t="n"/>
    </row>
    <row r="4" ht="48" customHeight="1">
      <c r="A4" s="9" t="inlineStr">
        <is>
          <t>Video ID</t>
        </is>
      </c>
      <c r="B4" s="9" t="inlineStr">
        <is>
          <t>Subject code</t>
        </is>
      </c>
      <c r="C4" s="9" t="inlineStr">
        <is>
          <t>Mode</t>
        </is>
      </c>
      <c r="D4" s="9" t="inlineStr">
        <is>
          <t>A1 Attentiveness</t>
        </is>
      </c>
      <c r="E4" s="9" t="inlineStr">
        <is>
          <t>A2 Eye contact</t>
        </is>
      </c>
      <c r="F4" s="9" t="inlineStr">
        <is>
          <t>A3 Facial expression</t>
        </is>
      </c>
      <c r="G4" s="9" t="inlineStr">
        <is>
          <t>A4 Head steadiness</t>
        </is>
      </c>
      <c r="H4" s="9" t="inlineStr">
        <is>
          <t>A5 Natural blinking</t>
        </is>
      </c>
      <c r="I4" s="9" t="inlineStr">
        <is>
          <t>A. Engagement /100</t>
        </is>
      </c>
      <c r="J4" s="9" t="inlineStr">
        <is>
          <t>B1 Pitch stability</t>
        </is>
      </c>
      <c r="K4" s="9" t="inlineStr">
        <is>
          <t>B2 Voice clarity</t>
        </is>
      </c>
      <c r="L4" s="9" t="inlineStr">
        <is>
          <t>B3 Voice smoothness</t>
        </is>
      </c>
      <c r="M4" s="9" t="inlineStr">
        <is>
          <t>B4 Tone of voice (half weight)</t>
        </is>
      </c>
      <c r="N4" s="9" t="inlineStr">
        <is>
          <t>B. Voice /100</t>
        </is>
      </c>
      <c r="O4" s="9" t="inlineStr">
        <is>
          <t>Pace band</t>
        </is>
      </c>
      <c r="P4" s="9" t="inlineStr">
        <is>
          <t>Hedges (n)</t>
        </is>
      </c>
      <c r="Q4" s="9" t="inlineStr">
        <is>
          <t>Fillers (n)</t>
        </is>
      </c>
      <c r="R4" s="9" t="inlineStr">
        <is>
          <t>Long pauses &gt;2s (n)</t>
        </is>
      </c>
      <c r="S4" s="9" t="inlineStr">
        <is>
          <t>Sentences completed (%)</t>
        </is>
      </c>
      <c r="T4" s="9" t="inlineStr">
        <is>
          <t>Pace score</t>
        </is>
      </c>
      <c r="U4" s="9" t="inlineStr">
        <is>
          <t>Hedge score</t>
        </is>
      </c>
      <c r="V4" s="9" t="inlineStr">
        <is>
          <t>Filler score</t>
        </is>
      </c>
      <c r="W4" s="9" t="inlineStr">
        <is>
          <t>Pause score</t>
        </is>
      </c>
      <c r="X4" s="9" t="inlineStr">
        <is>
          <t>Completion score</t>
        </is>
      </c>
      <c r="Y4" s="9" t="inlineStr">
        <is>
          <t>C. Speech /100</t>
        </is>
      </c>
      <c r="Z4" s="9" t="inlineStr">
        <is>
          <t>AI-equivalent /100</t>
        </is>
      </c>
      <c r="AA4" s="9" t="inlineStr">
        <is>
          <t>Technical /10</t>
        </is>
      </c>
      <c r="AB4" s="9" t="inlineStr">
        <is>
          <t>FINAL /100</t>
        </is>
      </c>
      <c r="AC4" s="9" t="inlineStr">
        <is>
          <t>Grade</t>
        </is>
      </c>
      <c r="AD4" s="9" t="inlineStr">
        <is>
          <t>Holistic mark /100</t>
        </is>
      </c>
      <c r="AE4" s="9" t="inlineStr">
        <is>
          <t>Publish system mark?</t>
        </is>
      </c>
      <c r="AF4" s="9" t="inlineStr">
        <is>
          <t>Comments</t>
        </is>
      </c>
    </row>
    <row r="5">
      <c r="A5" s="10" t="n"/>
      <c r="B5" s="10" t="n"/>
      <c r="C5" s="10" t="n"/>
      <c r="D5" s="10" t="n"/>
      <c r="E5" s="10" t="n"/>
      <c r="F5" s="10" t="n"/>
      <c r="G5" s="10" t="n"/>
      <c r="H5" s="10" t="n"/>
      <c r="I5" s="11">
        <f>IF(COUNT(D5:H5)=0,"",ROUND(AVERAGE(D5:H5)*10,2))</f>
        <v/>
      </c>
      <c r="J5" s="10" t="n"/>
      <c r="K5" s="10" t="n"/>
      <c r="L5" s="10" t="n"/>
      <c r="M5" s="10" t="n"/>
      <c r="N5" s="11">
        <f>IF(COUNT(J5:L5)=0,"",ROUND((SUM(J5:L5)+0.5*N(M5))/(COUNT(J5:L5)+0.5*COUNT(M5))*10,2))</f>
        <v/>
      </c>
      <c r="O5" s="10" t="n"/>
      <c r="P5" s="10" t="n"/>
      <c r="Q5" s="10" t="n"/>
      <c r="R5" s="10" t="n"/>
      <c r="S5" s="10" t="n"/>
      <c r="T5" s="11">
        <f>IF(O5="In band",10,IF(OR(O5="Too slow",O5="Too fast"),6.5,""))</f>
        <v/>
      </c>
      <c r="U5" s="11">
        <f>IF(P5="","",ROUND(10*MAX(0,1-P5/8),2))</f>
        <v/>
      </c>
      <c r="V5" s="11">
        <f>IF(Q5="","",ROUND(10*MAX(0,1-Q5/12),2))</f>
        <v/>
      </c>
      <c r="W5" s="11">
        <f>IF(R5="","",ROUND(10*MAX(0,1-R5/6),2))</f>
        <v/>
      </c>
      <c r="X5" s="11">
        <f>IF(S5="","",ROUND(MIN(10,MAX(0,S5/10)),2))</f>
        <v/>
      </c>
      <c r="Y5" s="11">
        <f>IF(COUNT(T5:X5)=0,"",ROUND(AVERAGE(T5:X5)*10,2))</f>
        <v/>
      </c>
      <c r="Z5" s="11">
        <f>IF(COUNT(I5,N5,Y5)=0,"",ROUND(AVERAGE(I5,N5,Y5),2))</f>
        <v/>
      </c>
      <c r="AA5" s="10" t="n"/>
      <c r="AB5" s="12">
        <f>IF(Z5="","",IF(AND(C5="With technical accuracy",NOT(ISNUMBER(AA5))),"Enter technical",ROUND(IF(AND(C5="With technical accuracy",ISNUMBER(AA5)),0.5*Z5+0.5*AA5*10,Z5),2)))</f>
        <v/>
      </c>
      <c r="AC5" s="12">
        <f>IF(NOT(ISNUMBER(AB5)),"",IF(AB5&gt;=90,"A+",IF(AB5&gt;=80,"A",IF(AB5&gt;=70,"B+",IF(AB5&gt;=60,"B",IF(AB5&gt;=50,"C+",IF(AB5&gt;=40,"C","F")))))))</f>
        <v/>
      </c>
      <c r="AD5" s="10" t="n"/>
      <c r="AE5" s="10" t="n"/>
      <c r="AF5" s="13" t="n"/>
    </row>
    <row r="6">
      <c r="A6" s="10" t="n"/>
      <c r="B6" s="10" t="n"/>
      <c r="C6" s="10" t="n"/>
      <c r="D6" s="10" t="n"/>
      <c r="E6" s="10" t="n"/>
      <c r="F6" s="10" t="n"/>
      <c r="G6" s="10" t="n"/>
      <c r="H6" s="10" t="n"/>
      <c r="I6" s="11">
        <f>IF(COUNT(D6:H6)=0,"",ROUND(AVERAGE(D6:H6)*10,2))</f>
        <v/>
      </c>
      <c r="J6" s="10" t="n"/>
      <c r="K6" s="10" t="n"/>
      <c r="L6" s="10" t="n"/>
      <c r="M6" s="10" t="n"/>
      <c r="N6" s="11">
        <f>IF(COUNT(J6:L6)=0,"",ROUND((SUM(J6:L6)+0.5*N(M6))/(COUNT(J6:L6)+0.5*COUNT(M6))*10,2))</f>
        <v/>
      </c>
      <c r="O6" s="10" t="n"/>
      <c r="P6" s="10" t="n"/>
      <c r="Q6" s="10" t="n"/>
      <c r="R6" s="10" t="n"/>
      <c r="S6" s="10" t="n"/>
      <c r="T6" s="11">
        <f>IF(O6="In band",10,IF(OR(O6="Too slow",O6="Too fast"),6.5,""))</f>
        <v/>
      </c>
      <c r="U6" s="11">
        <f>IF(P6="","",ROUND(10*MAX(0,1-P6/8),2))</f>
        <v/>
      </c>
      <c r="V6" s="11">
        <f>IF(Q6="","",ROUND(10*MAX(0,1-Q6/12),2))</f>
        <v/>
      </c>
      <c r="W6" s="11">
        <f>IF(R6="","",ROUND(10*MAX(0,1-R6/6),2))</f>
        <v/>
      </c>
      <c r="X6" s="11">
        <f>IF(S6="","",ROUND(MIN(10,MAX(0,S6/10)),2))</f>
        <v/>
      </c>
      <c r="Y6" s="11">
        <f>IF(COUNT(T6:X6)=0,"",ROUND(AVERAGE(T6:X6)*10,2))</f>
        <v/>
      </c>
      <c r="Z6" s="11">
        <f>IF(COUNT(I6,N6,Y6)=0,"",ROUND(AVERAGE(I6,N6,Y6),2))</f>
        <v/>
      </c>
      <c r="AA6" s="10" t="n"/>
      <c r="AB6" s="12">
        <f>IF(Z6="","",IF(AND(C6="With technical accuracy",NOT(ISNUMBER(AA6))),"Enter technical",ROUND(IF(AND(C6="With technical accuracy",ISNUMBER(AA6)),0.5*Z6+0.5*AA6*10,Z6),2)))</f>
        <v/>
      </c>
      <c r="AC6" s="12">
        <f>IF(NOT(ISNUMBER(AB6)),"",IF(AB6&gt;=90,"A+",IF(AB6&gt;=80,"A",IF(AB6&gt;=70,"B+",IF(AB6&gt;=60,"B",IF(AB6&gt;=50,"C+",IF(AB6&gt;=40,"C","F")))))))</f>
        <v/>
      </c>
      <c r="AD6" s="10" t="n"/>
      <c r="AE6" s="10" t="n"/>
      <c r="AF6" s="13" t="n"/>
    </row>
    <row r="7">
      <c r="A7" s="10" t="n"/>
      <c r="B7" s="10" t="n"/>
      <c r="C7" s="10" t="n"/>
      <c r="D7" s="10" t="n"/>
      <c r="E7" s="10" t="n"/>
      <c r="F7" s="10" t="n"/>
      <c r="G7" s="10" t="n"/>
      <c r="H7" s="10" t="n"/>
      <c r="I7" s="11">
        <f>IF(COUNT(D7:H7)=0,"",ROUND(AVERAGE(D7:H7)*10,2))</f>
        <v/>
      </c>
      <c r="J7" s="10" t="n"/>
      <c r="K7" s="10" t="n"/>
      <c r="L7" s="10" t="n"/>
      <c r="M7" s="10" t="n"/>
      <c r="N7" s="11">
        <f>IF(COUNT(J7:L7)=0,"",ROUND((SUM(J7:L7)+0.5*N(M7))/(COUNT(J7:L7)+0.5*COUNT(M7))*10,2))</f>
        <v/>
      </c>
      <c r="O7" s="10" t="n"/>
      <c r="P7" s="10" t="n"/>
      <c r="Q7" s="10" t="n"/>
      <c r="R7" s="10" t="n"/>
      <c r="S7" s="10" t="n"/>
      <c r="T7" s="11">
        <f>IF(O7="In band",10,IF(OR(O7="Too slow",O7="Too fast"),6.5,""))</f>
        <v/>
      </c>
      <c r="U7" s="11">
        <f>IF(P7="","",ROUND(10*MAX(0,1-P7/8),2))</f>
        <v/>
      </c>
      <c r="V7" s="11">
        <f>IF(Q7="","",ROUND(10*MAX(0,1-Q7/12),2))</f>
        <v/>
      </c>
      <c r="W7" s="11">
        <f>IF(R7="","",ROUND(10*MAX(0,1-R7/6),2))</f>
        <v/>
      </c>
      <c r="X7" s="11">
        <f>IF(S7="","",ROUND(MIN(10,MAX(0,S7/10)),2))</f>
        <v/>
      </c>
      <c r="Y7" s="11">
        <f>IF(COUNT(T7:X7)=0,"",ROUND(AVERAGE(T7:X7)*10,2))</f>
        <v/>
      </c>
      <c r="Z7" s="11">
        <f>IF(COUNT(I7,N7,Y7)=0,"",ROUND(AVERAGE(I7,N7,Y7),2))</f>
        <v/>
      </c>
      <c r="AA7" s="10" t="n"/>
      <c r="AB7" s="12">
        <f>IF(Z7="","",IF(AND(C7="With technical accuracy",NOT(ISNUMBER(AA7))),"Enter technical",ROUND(IF(AND(C7="With technical accuracy",ISNUMBER(AA7)),0.5*Z7+0.5*AA7*10,Z7),2)))</f>
        <v/>
      </c>
      <c r="AC7" s="12">
        <f>IF(NOT(ISNUMBER(AB7)),"",IF(AB7&gt;=90,"A+",IF(AB7&gt;=80,"A",IF(AB7&gt;=70,"B+",IF(AB7&gt;=60,"B",IF(AB7&gt;=50,"C+",IF(AB7&gt;=40,"C","F")))))))</f>
        <v/>
      </c>
      <c r="AD7" s="10" t="n"/>
      <c r="AE7" s="10" t="n"/>
      <c r="AF7" s="13" t="n"/>
    </row>
    <row r="8">
      <c r="A8" s="10" t="n"/>
      <c r="B8" s="10" t="n"/>
      <c r="C8" s="10" t="n"/>
      <c r="D8" s="10" t="n"/>
      <c r="E8" s="10" t="n"/>
      <c r="F8" s="10" t="n"/>
      <c r="G8" s="10" t="n"/>
      <c r="H8" s="10" t="n"/>
      <c r="I8" s="11">
        <f>IF(COUNT(D8:H8)=0,"",ROUND(AVERAGE(D8:H8)*10,2))</f>
        <v/>
      </c>
      <c r="J8" s="10" t="n"/>
      <c r="K8" s="10" t="n"/>
      <c r="L8" s="10" t="n"/>
      <c r="M8" s="10" t="n"/>
      <c r="N8" s="11">
        <f>IF(COUNT(J8:L8)=0,"",ROUND((SUM(J8:L8)+0.5*N(M8))/(COUNT(J8:L8)+0.5*COUNT(M8))*10,2))</f>
        <v/>
      </c>
      <c r="O8" s="10" t="n"/>
      <c r="P8" s="10" t="n"/>
      <c r="Q8" s="10" t="n"/>
      <c r="R8" s="10" t="n"/>
      <c r="S8" s="10" t="n"/>
      <c r="T8" s="11">
        <f>IF(O8="In band",10,IF(OR(O8="Too slow",O8="Too fast"),6.5,""))</f>
        <v/>
      </c>
      <c r="U8" s="11">
        <f>IF(P8="","",ROUND(10*MAX(0,1-P8/8),2))</f>
        <v/>
      </c>
      <c r="V8" s="11">
        <f>IF(Q8="","",ROUND(10*MAX(0,1-Q8/12),2))</f>
        <v/>
      </c>
      <c r="W8" s="11">
        <f>IF(R8="","",ROUND(10*MAX(0,1-R8/6),2))</f>
        <v/>
      </c>
      <c r="X8" s="11">
        <f>IF(S8="","",ROUND(MIN(10,MAX(0,S8/10)),2))</f>
        <v/>
      </c>
      <c r="Y8" s="11">
        <f>IF(COUNT(T8:X8)=0,"",ROUND(AVERAGE(T8:X8)*10,2))</f>
        <v/>
      </c>
      <c r="Z8" s="11">
        <f>IF(COUNT(I8,N8,Y8)=0,"",ROUND(AVERAGE(I8,N8,Y8),2))</f>
        <v/>
      </c>
      <c r="AA8" s="10" t="n"/>
      <c r="AB8" s="12">
        <f>IF(Z8="","",IF(AND(C8="With technical accuracy",NOT(ISNUMBER(AA8))),"Enter technical",ROUND(IF(AND(C8="With technical accuracy",ISNUMBER(AA8)),0.5*Z8+0.5*AA8*10,Z8),2)))</f>
        <v/>
      </c>
      <c r="AC8" s="12">
        <f>IF(NOT(ISNUMBER(AB8)),"",IF(AB8&gt;=90,"A+",IF(AB8&gt;=80,"A",IF(AB8&gt;=70,"B+",IF(AB8&gt;=60,"B",IF(AB8&gt;=50,"C+",IF(AB8&gt;=40,"C","F")))))))</f>
        <v/>
      </c>
      <c r="AD8" s="10" t="n"/>
      <c r="AE8" s="10" t="n"/>
      <c r="AF8" s="13" t="n"/>
    </row>
    <row r="9">
      <c r="A9" s="10" t="n"/>
      <c r="B9" s="10" t="n"/>
      <c r="C9" s="10" t="n"/>
      <c r="D9" s="10" t="n"/>
      <c r="E9" s="10" t="n"/>
      <c r="F9" s="10" t="n"/>
      <c r="G9" s="10" t="n"/>
      <c r="H9" s="10" t="n"/>
      <c r="I9" s="11">
        <f>IF(COUNT(D9:H9)=0,"",ROUND(AVERAGE(D9:H9)*10,2))</f>
        <v/>
      </c>
      <c r="J9" s="10" t="n"/>
      <c r="K9" s="10" t="n"/>
      <c r="L9" s="10" t="n"/>
      <c r="M9" s="10" t="n"/>
      <c r="N9" s="11">
        <f>IF(COUNT(J9:L9)=0,"",ROUND((SUM(J9:L9)+0.5*N(M9))/(COUNT(J9:L9)+0.5*COUNT(M9))*10,2))</f>
        <v/>
      </c>
      <c r="O9" s="10" t="n"/>
      <c r="P9" s="10" t="n"/>
      <c r="Q9" s="10" t="n"/>
      <c r="R9" s="10" t="n"/>
      <c r="S9" s="10" t="n"/>
      <c r="T9" s="11">
        <f>IF(O9="In band",10,IF(OR(O9="Too slow",O9="Too fast"),6.5,""))</f>
        <v/>
      </c>
      <c r="U9" s="11">
        <f>IF(P9="","",ROUND(10*MAX(0,1-P9/8),2))</f>
        <v/>
      </c>
      <c r="V9" s="11">
        <f>IF(Q9="","",ROUND(10*MAX(0,1-Q9/12),2))</f>
        <v/>
      </c>
      <c r="W9" s="11">
        <f>IF(R9="","",ROUND(10*MAX(0,1-R9/6),2))</f>
        <v/>
      </c>
      <c r="X9" s="11">
        <f>IF(S9="","",ROUND(MIN(10,MAX(0,S9/10)),2))</f>
        <v/>
      </c>
      <c r="Y9" s="11">
        <f>IF(COUNT(T9:X9)=0,"",ROUND(AVERAGE(T9:X9)*10,2))</f>
        <v/>
      </c>
      <c r="Z9" s="11">
        <f>IF(COUNT(I9,N9,Y9)=0,"",ROUND(AVERAGE(I9,N9,Y9),2))</f>
        <v/>
      </c>
      <c r="AA9" s="10" t="n"/>
      <c r="AB9" s="12">
        <f>IF(Z9="","",IF(AND(C9="With technical accuracy",NOT(ISNUMBER(AA9))),"Enter technical",ROUND(IF(AND(C9="With technical accuracy",ISNUMBER(AA9)),0.5*Z9+0.5*AA9*10,Z9),2)))</f>
        <v/>
      </c>
      <c r="AC9" s="12">
        <f>IF(NOT(ISNUMBER(AB9)),"",IF(AB9&gt;=90,"A+",IF(AB9&gt;=80,"A",IF(AB9&gt;=70,"B+",IF(AB9&gt;=60,"B",IF(AB9&gt;=50,"C+",IF(AB9&gt;=40,"C","F")))))))</f>
        <v/>
      </c>
      <c r="AD9" s="10" t="n"/>
      <c r="AE9" s="10" t="n"/>
      <c r="AF9" s="13" t="n"/>
    </row>
    <row r="10">
      <c r="A10" s="10" t="n"/>
      <c r="B10" s="10" t="n"/>
      <c r="C10" s="10" t="n"/>
      <c r="D10" s="10" t="n"/>
      <c r="E10" s="10" t="n"/>
      <c r="F10" s="10" t="n"/>
      <c r="G10" s="10" t="n"/>
      <c r="H10" s="10" t="n"/>
      <c r="I10" s="11">
        <f>IF(COUNT(D10:H10)=0,"",ROUND(AVERAGE(D10:H10)*10,2))</f>
        <v/>
      </c>
      <c r="J10" s="10" t="n"/>
      <c r="K10" s="10" t="n"/>
      <c r="L10" s="10" t="n"/>
      <c r="M10" s="10" t="n"/>
      <c r="N10" s="11">
        <f>IF(COUNT(J10:L10)=0,"",ROUND((SUM(J10:L10)+0.5*N(M10))/(COUNT(J10:L10)+0.5*COUNT(M10))*10,2))</f>
        <v/>
      </c>
      <c r="O10" s="10" t="n"/>
      <c r="P10" s="10" t="n"/>
      <c r="Q10" s="10" t="n"/>
      <c r="R10" s="10" t="n"/>
      <c r="S10" s="10" t="n"/>
      <c r="T10" s="11">
        <f>IF(O10="In band",10,IF(OR(O10="Too slow",O10="Too fast"),6.5,""))</f>
        <v/>
      </c>
      <c r="U10" s="11">
        <f>IF(P10="","",ROUND(10*MAX(0,1-P10/8),2))</f>
        <v/>
      </c>
      <c r="V10" s="11">
        <f>IF(Q10="","",ROUND(10*MAX(0,1-Q10/12),2))</f>
        <v/>
      </c>
      <c r="W10" s="11">
        <f>IF(R10="","",ROUND(10*MAX(0,1-R10/6),2))</f>
        <v/>
      </c>
      <c r="X10" s="11">
        <f>IF(S10="","",ROUND(MIN(10,MAX(0,S10/10)),2))</f>
        <v/>
      </c>
      <c r="Y10" s="11">
        <f>IF(COUNT(T10:X10)=0,"",ROUND(AVERAGE(T10:X10)*10,2))</f>
        <v/>
      </c>
      <c r="Z10" s="11">
        <f>IF(COUNT(I10,N10,Y10)=0,"",ROUND(AVERAGE(I10,N10,Y10),2))</f>
        <v/>
      </c>
      <c r="AA10" s="10" t="n"/>
      <c r="AB10" s="12">
        <f>IF(Z10="","",IF(AND(C10="With technical accuracy",NOT(ISNUMBER(AA10))),"Enter technical",ROUND(IF(AND(C10="With technical accuracy",ISNUMBER(AA10)),0.5*Z10+0.5*AA10*10,Z10),2)))</f>
        <v/>
      </c>
      <c r="AC10" s="12">
        <f>IF(NOT(ISNUMBER(AB10)),"",IF(AB10&gt;=90,"A+",IF(AB10&gt;=80,"A",IF(AB10&gt;=70,"B+",IF(AB10&gt;=60,"B",IF(AB10&gt;=50,"C+",IF(AB10&gt;=40,"C","F")))))))</f>
        <v/>
      </c>
      <c r="AD10" s="10" t="n"/>
      <c r="AE10" s="10" t="n"/>
      <c r="AF10" s="13" t="n"/>
    </row>
    <row r="11">
      <c r="A11" s="10" t="n"/>
      <c r="B11" s="10" t="n"/>
      <c r="C11" s="10" t="n"/>
      <c r="D11" s="10" t="n"/>
      <c r="E11" s="10" t="n"/>
      <c r="F11" s="10" t="n"/>
      <c r="G11" s="10" t="n"/>
      <c r="H11" s="10" t="n"/>
      <c r="I11" s="11">
        <f>IF(COUNT(D11:H11)=0,"",ROUND(AVERAGE(D11:H11)*10,2))</f>
        <v/>
      </c>
      <c r="J11" s="10" t="n"/>
      <c r="K11" s="10" t="n"/>
      <c r="L11" s="10" t="n"/>
      <c r="M11" s="10" t="n"/>
      <c r="N11" s="11">
        <f>IF(COUNT(J11:L11)=0,"",ROUND((SUM(J11:L11)+0.5*N(M11))/(COUNT(J11:L11)+0.5*COUNT(M11))*10,2))</f>
        <v/>
      </c>
      <c r="O11" s="10" t="n"/>
      <c r="P11" s="10" t="n"/>
      <c r="Q11" s="10" t="n"/>
      <c r="R11" s="10" t="n"/>
      <c r="S11" s="10" t="n"/>
      <c r="T11" s="11">
        <f>IF(O11="In band",10,IF(OR(O11="Too slow",O11="Too fast"),6.5,""))</f>
        <v/>
      </c>
      <c r="U11" s="11">
        <f>IF(P11="","",ROUND(10*MAX(0,1-P11/8),2))</f>
        <v/>
      </c>
      <c r="V11" s="11">
        <f>IF(Q11="","",ROUND(10*MAX(0,1-Q11/12),2))</f>
        <v/>
      </c>
      <c r="W11" s="11">
        <f>IF(R11="","",ROUND(10*MAX(0,1-R11/6),2))</f>
        <v/>
      </c>
      <c r="X11" s="11">
        <f>IF(S11="","",ROUND(MIN(10,MAX(0,S11/10)),2))</f>
        <v/>
      </c>
      <c r="Y11" s="11">
        <f>IF(COUNT(T11:X11)=0,"",ROUND(AVERAGE(T11:X11)*10,2))</f>
        <v/>
      </c>
      <c r="Z11" s="11">
        <f>IF(COUNT(I11,N11,Y11)=0,"",ROUND(AVERAGE(I11,N11,Y11),2))</f>
        <v/>
      </c>
      <c r="AA11" s="10" t="n"/>
      <c r="AB11" s="12">
        <f>IF(Z11="","",IF(AND(C11="With technical accuracy",NOT(ISNUMBER(AA11))),"Enter technical",ROUND(IF(AND(C11="With technical accuracy",ISNUMBER(AA11)),0.5*Z11+0.5*AA11*10,Z11),2)))</f>
        <v/>
      </c>
      <c r="AC11" s="12">
        <f>IF(NOT(ISNUMBER(AB11)),"",IF(AB11&gt;=90,"A+",IF(AB11&gt;=80,"A",IF(AB11&gt;=70,"B+",IF(AB11&gt;=60,"B",IF(AB11&gt;=50,"C+",IF(AB11&gt;=40,"C","F")))))))</f>
        <v/>
      </c>
      <c r="AD11" s="10" t="n"/>
      <c r="AE11" s="10" t="n"/>
      <c r="AF11" s="13" t="n"/>
    </row>
    <row r="12">
      <c r="A12" s="10" t="n"/>
      <c r="B12" s="10" t="n"/>
      <c r="C12" s="10" t="n"/>
      <c r="D12" s="10" t="n"/>
      <c r="E12" s="10" t="n"/>
      <c r="F12" s="10" t="n"/>
      <c r="G12" s="10" t="n"/>
      <c r="H12" s="10" t="n"/>
      <c r="I12" s="11">
        <f>IF(COUNT(D12:H12)=0,"",ROUND(AVERAGE(D12:H12)*10,2))</f>
        <v/>
      </c>
      <c r="J12" s="10" t="n"/>
      <c r="K12" s="10" t="n"/>
      <c r="L12" s="10" t="n"/>
      <c r="M12" s="10" t="n"/>
      <c r="N12" s="11">
        <f>IF(COUNT(J12:L12)=0,"",ROUND((SUM(J12:L12)+0.5*N(M12))/(COUNT(J12:L12)+0.5*COUNT(M12))*10,2))</f>
        <v/>
      </c>
      <c r="O12" s="10" t="n"/>
      <c r="P12" s="10" t="n"/>
      <c r="Q12" s="10" t="n"/>
      <c r="R12" s="10" t="n"/>
      <c r="S12" s="10" t="n"/>
      <c r="T12" s="11">
        <f>IF(O12="In band",10,IF(OR(O12="Too slow",O12="Too fast"),6.5,""))</f>
        <v/>
      </c>
      <c r="U12" s="11">
        <f>IF(P12="","",ROUND(10*MAX(0,1-P12/8),2))</f>
        <v/>
      </c>
      <c r="V12" s="11">
        <f>IF(Q12="","",ROUND(10*MAX(0,1-Q12/12),2))</f>
        <v/>
      </c>
      <c r="W12" s="11">
        <f>IF(R12="","",ROUND(10*MAX(0,1-R12/6),2))</f>
        <v/>
      </c>
      <c r="X12" s="11">
        <f>IF(S12="","",ROUND(MIN(10,MAX(0,S12/10)),2))</f>
        <v/>
      </c>
      <c r="Y12" s="11">
        <f>IF(COUNT(T12:X12)=0,"",ROUND(AVERAGE(T12:X12)*10,2))</f>
        <v/>
      </c>
      <c r="Z12" s="11">
        <f>IF(COUNT(I12,N12,Y12)=0,"",ROUND(AVERAGE(I12,N12,Y12),2))</f>
        <v/>
      </c>
      <c r="AA12" s="10" t="n"/>
      <c r="AB12" s="12">
        <f>IF(Z12="","",IF(AND(C12="With technical accuracy",NOT(ISNUMBER(AA12))),"Enter technical",ROUND(IF(AND(C12="With technical accuracy",ISNUMBER(AA12)),0.5*Z12+0.5*AA12*10,Z12),2)))</f>
        <v/>
      </c>
      <c r="AC12" s="12">
        <f>IF(NOT(ISNUMBER(AB12)),"",IF(AB12&gt;=90,"A+",IF(AB12&gt;=80,"A",IF(AB12&gt;=70,"B+",IF(AB12&gt;=60,"B",IF(AB12&gt;=50,"C+",IF(AB12&gt;=40,"C","F")))))))</f>
        <v/>
      </c>
      <c r="AD12" s="10" t="n"/>
      <c r="AE12" s="10" t="n"/>
      <c r="AF12" s="13" t="n"/>
    </row>
    <row r="13">
      <c r="A13" s="10" t="n"/>
      <c r="B13" s="10" t="n"/>
      <c r="C13" s="10" t="n"/>
      <c r="D13" s="10" t="n"/>
      <c r="E13" s="10" t="n"/>
      <c r="F13" s="10" t="n"/>
      <c r="G13" s="10" t="n"/>
      <c r="H13" s="10" t="n"/>
      <c r="I13" s="11">
        <f>IF(COUNT(D13:H13)=0,"",ROUND(AVERAGE(D13:H13)*10,2))</f>
        <v/>
      </c>
      <c r="J13" s="10" t="n"/>
      <c r="K13" s="10" t="n"/>
      <c r="L13" s="10" t="n"/>
      <c r="M13" s="10" t="n"/>
      <c r="N13" s="11">
        <f>IF(COUNT(J13:L13)=0,"",ROUND((SUM(J13:L13)+0.5*N(M13))/(COUNT(J13:L13)+0.5*COUNT(M13))*10,2))</f>
        <v/>
      </c>
      <c r="O13" s="10" t="n"/>
      <c r="P13" s="10" t="n"/>
      <c r="Q13" s="10" t="n"/>
      <c r="R13" s="10" t="n"/>
      <c r="S13" s="10" t="n"/>
      <c r="T13" s="11">
        <f>IF(O13="In band",10,IF(OR(O13="Too slow",O13="Too fast"),6.5,""))</f>
        <v/>
      </c>
      <c r="U13" s="11">
        <f>IF(P13="","",ROUND(10*MAX(0,1-P13/8),2))</f>
        <v/>
      </c>
      <c r="V13" s="11">
        <f>IF(Q13="","",ROUND(10*MAX(0,1-Q13/12),2))</f>
        <v/>
      </c>
      <c r="W13" s="11">
        <f>IF(R13="","",ROUND(10*MAX(0,1-R13/6),2))</f>
        <v/>
      </c>
      <c r="X13" s="11">
        <f>IF(S13="","",ROUND(MIN(10,MAX(0,S13/10)),2))</f>
        <v/>
      </c>
      <c r="Y13" s="11">
        <f>IF(COUNT(T13:X13)=0,"",ROUND(AVERAGE(T13:X13)*10,2))</f>
        <v/>
      </c>
      <c r="Z13" s="11">
        <f>IF(COUNT(I13,N13,Y13)=0,"",ROUND(AVERAGE(I13,N13,Y13),2))</f>
        <v/>
      </c>
      <c r="AA13" s="10" t="n"/>
      <c r="AB13" s="12">
        <f>IF(Z13="","",IF(AND(C13="With technical accuracy",NOT(ISNUMBER(AA13))),"Enter technical",ROUND(IF(AND(C13="With technical accuracy",ISNUMBER(AA13)),0.5*Z13+0.5*AA13*10,Z13),2)))</f>
        <v/>
      </c>
      <c r="AC13" s="12">
        <f>IF(NOT(ISNUMBER(AB13)),"",IF(AB13&gt;=90,"A+",IF(AB13&gt;=80,"A",IF(AB13&gt;=70,"B+",IF(AB13&gt;=60,"B",IF(AB13&gt;=50,"C+",IF(AB13&gt;=40,"C","F")))))))</f>
        <v/>
      </c>
      <c r="AD13" s="10" t="n"/>
      <c r="AE13" s="10" t="n"/>
      <c r="AF13" s="13" t="n"/>
    </row>
    <row r="14">
      <c r="A14" s="10" t="n"/>
      <c r="B14" s="10" t="n"/>
      <c r="C14" s="10" t="n"/>
      <c r="D14" s="10" t="n"/>
      <c r="E14" s="10" t="n"/>
      <c r="F14" s="10" t="n"/>
      <c r="G14" s="10" t="n"/>
      <c r="H14" s="10" t="n"/>
      <c r="I14" s="11">
        <f>IF(COUNT(D14:H14)=0,"",ROUND(AVERAGE(D14:H14)*10,2))</f>
        <v/>
      </c>
      <c r="J14" s="10" t="n"/>
      <c r="K14" s="10" t="n"/>
      <c r="L14" s="10" t="n"/>
      <c r="M14" s="10" t="n"/>
      <c r="N14" s="11">
        <f>IF(COUNT(J14:L14)=0,"",ROUND((SUM(J14:L14)+0.5*N(M14))/(COUNT(J14:L14)+0.5*COUNT(M14))*10,2))</f>
        <v/>
      </c>
      <c r="O14" s="10" t="n"/>
      <c r="P14" s="10" t="n"/>
      <c r="Q14" s="10" t="n"/>
      <c r="R14" s="10" t="n"/>
      <c r="S14" s="10" t="n"/>
      <c r="T14" s="11">
        <f>IF(O14="In band",10,IF(OR(O14="Too slow",O14="Too fast"),6.5,""))</f>
        <v/>
      </c>
      <c r="U14" s="11">
        <f>IF(P14="","",ROUND(10*MAX(0,1-P14/8),2))</f>
        <v/>
      </c>
      <c r="V14" s="11">
        <f>IF(Q14="","",ROUND(10*MAX(0,1-Q14/12),2))</f>
        <v/>
      </c>
      <c r="W14" s="11">
        <f>IF(R14="","",ROUND(10*MAX(0,1-R14/6),2))</f>
        <v/>
      </c>
      <c r="X14" s="11">
        <f>IF(S14="","",ROUND(MIN(10,MAX(0,S14/10)),2))</f>
        <v/>
      </c>
      <c r="Y14" s="11">
        <f>IF(COUNT(T14:X14)=0,"",ROUND(AVERAGE(T14:X14)*10,2))</f>
        <v/>
      </c>
      <c r="Z14" s="11">
        <f>IF(COUNT(I14,N14,Y14)=0,"",ROUND(AVERAGE(I14,N14,Y14),2))</f>
        <v/>
      </c>
      <c r="AA14" s="10" t="n"/>
      <c r="AB14" s="12">
        <f>IF(Z14="","",IF(AND(C14="With technical accuracy",NOT(ISNUMBER(AA14))),"Enter technical",ROUND(IF(AND(C14="With technical accuracy",ISNUMBER(AA14)),0.5*Z14+0.5*AA14*10,Z14),2)))</f>
        <v/>
      </c>
      <c r="AC14" s="12">
        <f>IF(NOT(ISNUMBER(AB14)),"",IF(AB14&gt;=90,"A+",IF(AB14&gt;=80,"A",IF(AB14&gt;=70,"B+",IF(AB14&gt;=60,"B",IF(AB14&gt;=50,"C+",IF(AB14&gt;=40,"C","F")))))))</f>
        <v/>
      </c>
      <c r="AD14" s="10" t="n"/>
      <c r="AE14" s="10" t="n"/>
      <c r="AF14" s="13" t="n"/>
    </row>
    <row r="15">
      <c r="A15" s="10" t="n"/>
      <c r="B15" s="10" t="n"/>
      <c r="C15" s="10" t="n"/>
      <c r="D15" s="10" t="n"/>
      <c r="E15" s="10" t="n"/>
      <c r="F15" s="10" t="n"/>
      <c r="G15" s="10" t="n"/>
      <c r="H15" s="10" t="n"/>
      <c r="I15" s="11">
        <f>IF(COUNT(D15:H15)=0,"",ROUND(AVERAGE(D15:H15)*10,2))</f>
        <v/>
      </c>
      <c r="J15" s="10" t="n"/>
      <c r="K15" s="10" t="n"/>
      <c r="L15" s="10" t="n"/>
      <c r="M15" s="10" t="n"/>
      <c r="N15" s="11">
        <f>IF(COUNT(J15:L15)=0,"",ROUND((SUM(J15:L15)+0.5*N(M15))/(COUNT(J15:L15)+0.5*COUNT(M15))*10,2))</f>
        <v/>
      </c>
      <c r="O15" s="10" t="n"/>
      <c r="P15" s="10" t="n"/>
      <c r="Q15" s="10" t="n"/>
      <c r="R15" s="10" t="n"/>
      <c r="S15" s="10" t="n"/>
      <c r="T15" s="11">
        <f>IF(O15="In band",10,IF(OR(O15="Too slow",O15="Too fast"),6.5,""))</f>
        <v/>
      </c>
      <c r="U15" s="11">
        <f>IF(P15="","",ROUND(10*MAX(0,1-P15/8),2))</f>
        <v/>
      </c>
      <c r="V15" s="11">
        <f>IF(Q15="","",ROUND(10*MAX(0,1-Q15/12),2))</f>
        <v/>
      </c>
      <c r="W15" s="11">
        <f>IF(R15="","",ROUND(10*MAX(0,1-R15/6),2))</f>
        <v/>
      </c>
      <c r="X15" s="11">
        <f>IF(S15="","",ROUND(MIN(10,MAX(0,S15/10)),2))</f>
        <v/>
      </c>
      <c r="Y15" s="11">
        <f>IF(COUNT(T15:X15)=0,"",ROUND(AVERAGE(T15:X15)*10,2))</f>
        <v/>
      </c>
      <c r="Z15" s="11">
        <f>IF(COUNT(I15,N15,Y15)=0,"",ROUND(AVERAGE(I15,N15,Y15),2))</f>
        <v/>
      </c>
      <c r="AA15" s="10" t="n"/>
      <c r="AB15" s="12">
        <f>IF(Z15="","",IF(AND(C15="With technical accuracy",NOT(ISNUMBER(AA15))),"Enter technical",ROUND(IF(AND(C15="With technical accuracy",ISNUMBER(AA15)),0.5*Z15+0.5*AA15*10,Z15),2)))</f>
        <v/>
      </c>
      <c r="AC15" s="12">
        <f>IF(NOT(ISNUMBER(AB15)),"",IF(AB15&gt;=90,"A+",IF(AB15&gt;=80,"A",IF(AB15&gt;=70,"B+",IF(AB15&gt;=60,"B",IF(AB15&gt;=50,"C+",IF(AB15&gt;=40,"C","F")))))))</f>
        <v/>
      </c>
      <c r="AD15" s="10" t="n"/>
      <c r="AE15" s="10" t="n"/>
      <c r="AF15" s="13" t="n"/>
    </row>
    <row r="16">
      <c r="A16" s="10" t="n"/>
      <c r="B16" s="10" t="n"/>
      <c r="C16" s="10" t="n"/>
      <c r="D16" s="10" t="n"/>
      <c r="E16" s="10" t="n"/>
      <c r="F16" s="10" t="n"/>
      <c r="G16" s="10" t="n"/>
      <c r="H16" s="10" t="n"/>
      <c r="I16" s="11">
        <f>IF(COUNT(D16:H16)=0,"",ROUND(AVERAGE(D16:H16)*10,2))</f>
        <v/>
      </c>
      <c r="J16" s="10" t="n"/>
      <c r="K16" s="10" t="n"/>
      <c r="L16" s="10" t="n"/>
      <c r="M16" s="10" t="n"/>
      <c r="N16" s="11">
        <f>IF(COUNT(J16:L16)=0,"",ROUND((SUM(J16:L16)+0.5*N(M16))/(COUNT(J16:L16)+0.5*COUNT(M16))*10,2))</f>
        <v/>
      </c>
      <c r="O16" s="10" t="n"/>
      <c r="P16" s="10" t="n"/>
      <c r="Q16" s="10" t="n"/>
      <c r="R16" s="10" t="n"/>
      <c r="S16" s="10" t="n"/>
      <c r="T16" s="11">
        <f>IF(O16="In band",10,IF(OR(O16="Too slow",O16="Too fast"),6.5,""))</f>
        <v/>
      </c>
      <c r="U16" s="11">
        <f>IF(P16="","",ROUND(10*MAX(0,1-P16/8),2))</f>
        <v/>
      </c>
      <c r="V16" s="11">
        <f>IF(Q16="","",ROUND(10*MAX(0,1-Q16/12),2))</f>
        <v/>
      </c>
      <c r="W16" s="11">
        <f>IF(R16="","",ROUND(10*MAX(0,1-R16/6),2))</f>
        <v/>
      </c>
      <c r="X16" s="11">
        <f>IF(S16="","",ROUND(MIN(10,MAX(0,S16/10)),2))</f>
        <v/>
      </c>
      <c r="Y16" s="11">
        <f>IF(COUNT(T16:X16)=0,"",ROUND(AVERAGE(T16:X16)*10,2))</f>
        <v/>
      </c>
      <c r="Z16" s="11">
        <f>IF(COUNT(I16,N16,Y16)=0,"",ROUND(AVERAGE(I16,N16,Y16),2))</f>
        <v/>
      </c>
      <c r="AA16" s="10" t="n"/>
      <c r="AB16" s="12">
        <f>IF(Z16="","",IF(AND(C16="With technical accuracy",NOT(ISNUMBER(AA16))),"Enter technical",ROUND(IF(AND(C16="With technical accuracy",ISNUMBER(AA16)),0.5*Z16+0.5*AA16*10,Z16),2)))</f>
        <v/>
      </c>
      <c r="AC16" s="12">
        <f>IF(NOT(ISNUMBER(AB16)),"",IF(AB16&gt;=90,"A+",IF(AB16&gt;=80,"A",IF(AB16&gt;=70,"B+",IF(AB16&gt;=60,"B",IF(AB16&gt;=50,"C+",IF(AB16&gt;=40,"C","F")))))))</f>
        <v/>
      </c>
      <c r="AD16" s="10" t="n"/>
      <c r="AE16" s="10" t="n"/>
      <c r="AF16" s="13" t="n"/>
    </row>
    <row r="17">
      <c r="A17" s="10" t="n"/>
      <c r="B17" s="10" t="n"/>
      <c r="C17" s="10" t="n"/>
      <c r="D17" s="10" t="n"/>
      <c r="E17" s="10" t="n"/>
      <c r="F17" s="10" t="n"/>
      <c r="G17" s="10" t="n"/>
      <c r="H17" s="10" t="n"/>
      <c r="I17" s="11">
        <f>IF(COUNT(D17:H17)=0,"",ROUND(AVERAGE(D17:H17)*10,2))</f>
        <v/>
      </c>
      <c r="J17" s="10" t="n"/>
      <c r="K17" s="10" t="n"/>
      <c r="L17" s="10" t="n"/>
      <c r="M17" s="10" t="n"/>
      <c r="N17" s="11">
        <f>IF(COUNT(J17:L17)=0,"",ROUND((SUM(J17:L17)+0.5*N(M17))/(COUNT(J17:L17)+0.5*COUNT(M17))*10,2))</f>
        <v/>
      </c>
      <c r="O17" s="10" t="n"/>
      <c r="P17" s="10" t="n"/>
      <c r="Q17" s="10" t="n"/>
      <c r="R17" s="10" t="n"/>
      <c r="S17" s="10" t="n"/>
      <c r="T17" s="11">
        <f>IF(O17="In band",10,IF(OR(O17="Too slow",O17="Too fast"),6.5,""))</f>
        <v/>
      </c>
      <c r="U17" s="11">
        <f>IF(P17="","",ROUND(10*MAX(0,1-P17/8),2))</f>
        <v/>
      </c>
      <c r="V17" s="11">
        <f>IF(Q17="","",ROUND(10*MAX(0,1-Q17/12),2))</f>
        <v/>
      </c>
      <c r="W17" s="11">
        <f>IF(R17="","",ROUND(10*MAX(0,1-R17/6),2))</f>
        <v/>
      </c>
      <c r="X17" s="11">
        <f>IF(S17="","",ROUND(MIN(10,MAX(0,S17/10)),2))</f>
        <v/>
      </c>
      <c r="Y17" s="11">
        <f>IF(COUNT(T17:X17)=0,"",ROUND(AVERAGE(T17:X17)*10,2))</f>
        <v/>
      </c>
      <c r="Z17" s="11">
        <f>IF(COUNT(I17,N17,Y17)=0,"",ROUND(AVERAGE(I17,N17,Y17),2))</f>
        <v/>
      </c>
      <c r="AA17" s="10" t="n"/>
      <c r="AB17" s="12">
        <f>IF(Z17="","",IF(AND(C17="With technical accuracy",NOT(ISNUMBER(AA17))),"Enter technical",ROUND(IF(AND(C17="With technical accuracy",ISNUMBER(AA17)),0.5*Z17+0.5*AA17*10,Z17),2)))</f>
        <v/>
      </c>
      <c r="AC17" s="12">
        <f>IF(NOT(ISNUMBER(AB17)),"",IF(AB17&gt;=90,"A+",IF(AB17&gt;=80,"A",IF(AB17&gt;=70,"B+",IF(AB17&gt;=60,"B",IF(AB17&gt;=50,"C+",IF(AB17&gt;=40,"C","F")))))))</f>
        <v/>
      </c>
      <c r="AD17" s="10" t="n"/>
      <c r="AE17" s="10" t="n"/>
      <c r="AF17" s="13" t="n"/>
    </row>
    <row r="18">
      <c r="A18" s="10" t="n"/>
      <c r="B18" s="10" t="n"/>
      <c r="C18" s="10" t="n"/>
      <c r="D18" s="10" t="n"/>
      <c r="E18" s="10" t="n"/>
      <c r="F18" s="10" t="n"/>
      <c r="G18" s="10" t="n"/>
      <c r="H18" s="10" t="n"/>
      <c r="I18" s="11">
        <f>IF(COUNT(D18:H18)=0,"",ROUND(AVERAGE(D18:H18)*10,2))</f>
        <v/>
      </c>
      <c r="J18" s="10" t="n"/>
      <c r="K18" s="10" t="n"/>
      <c r="L18" s="10" t="n"/>
      <c r="M18" s="10" t="n"/>
      <c r="N18" s="11">
        <f>IF(COUNT(J18:L18)=0,"",ROUND((SUM(J18:L18)+0.5*N(M18))/(COUNT(J18:L18)+0.5*COUNT(M18))*10,2))</f>
        <v/>
      </c>
      <c r="O18" s="10" t="n"/>
      <c r="P18" s="10" t="n"/>
      <c r="Q18" s="10" t="n"/>
      <c r="R18" s="10" t="n"/>
      <c r="S18" s="10" t="n"/>
      <c r="T18" s="11">
        <f>IF(O18="In band",10,IF(OR(O18="Too slow",O18="Too fast"),6.5,""))</f>
        <v/>
      </c>
      <c r="U18" s="11">
        <f>IF(P18="","",ROUND(10*MAX(0,1-P18/8),2))</f>
        <v/>
      </c>
      <c r="V18" s="11">
        <f>IF(Q18="","",ROUND(10*MAX(0,1-Q18/12),2))</f>
        <v/>
      </c>
      <c r="W18" s="11">
        <f>IF(R18="","",ROUND(10*MAX(0,1-R18/6),2))</f>
        <v/>
      </c>
      <c r="X18" s="11">
        <f>IF(S18="","",ROUND(MIN(10,MAX(0,S18/10)),2))</f>
        <v/>
      </c>
      <c r="Y18" s="11">
        <f>IF(COUNT(T18:X18)=0,"",ROUND(AVERAGE(T18:X18)*10,2))</f>
        <v/>
      </c>
      <c r="Z18" s="11">
        <f>IF(COUNT(I18,N18,Y18)=0,"",ROUND(AVERAGE(I18,N18,Y18),2))</f>
        <v/>
      </c>
      <c r="AA18" s="10" t="n"/>
      <c r="AB18" s="12">
        <f>IF(Z18="","",IF(AND(C18="With technical accuracy",NOT(ISNUMBER(AA18))),"Enter technical",ROUND(IF(AND(C18="With technical accuracy",ISNUMBER(AA18)),0.5*Z18+0.5*AA18*10,Z18),2)))</f>
        <v/>
      </c>
      <c r="AC18" s="12">
        <f>IF(NOT(ISNUMBER(AB18)),"",IF(AB18&gt;=90,"A+",IF(AB18&gt;=80,"A",IF(AB18&gt;=70,"B+",IF(AB18&gt;=60,"B",IF(AB18&gt;=50,"C+",IF(AB18&gt;=40,"C","F")))))))</f>
        <v/>
      </c>
      <c r="AD18" s="10" t="n"/>
      <c r="AE18" s="10" t="n"/>
      <c r="AF18" s="13" t="n"/>
    </row>
    <row r="19">
      <c r="A19" s="10" t="n"/>
      <c r="B19" s="10" t="n"/>
      <c r="C19" s="10" t="n"/>
      <c r="D19" s="10" t="n"/>
      <c r="E19" s="10" t="n"/>
      <c r="F19" s="10" t="n"/>
      <c r="G19" s="10" t="n"/>
      <c r="H19" s="10" t="n"/>
      <c r="I19" s="11">
        <f>IF(COUNT(D19:H19)=0,"",ROUND(AVERAGE(D19:H19)*10,2))</f>
        <v/>
      </c>
      <c r="J19" s="10" t="n"/>
      <c r="K19" s="10" t="n"/>
      <c r="L19" s="10" t="n"/>
      <c r="M19" s="10" t="n"/>
      <c r="N19" s="11">
        <f>IF(COUNT(J19:L19)=0,"",ROUND((SUM(J19:L19)+0.5*N(M19))/(COUNT(J19:L19)+0.5*COUNT(M19))*10,2))</f>
        <v/>
      </c>
      <c r="O19" s="10" t="n"/>
      <c r="P19" s="10" t="n"/>
      <c r="Q19" s="10" t="n"/>
      <c r="R19" s="10" t="n"/>
      <c r="S19" s="10" t="n"/>
      <c r="T19" s="11">
        <f>IF(O19="In band",10,IF(OR(O19="Too slow",O19="Too fast"),6.5,""))</f>
        <v/>
      </c>
      <c r="U19" s="11">
        <f>IF(P19="","",ROUND(10*MAX(0,1-P19/8),2))</f>
        <v/>
      </c>
      <c r="V19" s="11">
        <f>IF(Q19="","",ROUND(10*MAX(0,1-Q19/12),2))</f>
        <v/>
      </c>
      <c r="W19" s="11">
        <f>IF(R19="","",ROUND(10*MAX(0,1-R19/6),2))</f>
        <v/>
      </c>
      <c r="X19" s="11">
        <f>IF(S19="","",ROUND(MIN(10,MAX(0,S19/10)),2))</f>
        <v/>
      </c>
      <c r="Y19" s="11">
        <f>IF(COUNT(T19:X19)=0,"",ROUND(AVERAGE(T19:X19)*10,2))</f>
        <v/>
      </c>
      <c r="Z19" s="11">
        <f>IF(COUNT(I19,N19,Y19)=0,"",ROUND(AVERAGE(I19,N19,Y19),2))</f>
        <v/>
      </c>
      <c r="AA19" s="10" t="n"/>
      <c r="AB19" s="12">
        <f>IF(Z19="","",IF(AND(C19="With technical accuracy",NOT(ISNUMBER(AA19))),"Enter technical",ROUND(IF(AND(C19="With technical accuracy",ISNUMBER(AA19)),0.5*Z19+0.5*AA19*10,Z19),2)))</f>
        <v/>
      </c>
      <c r="AC19" s="12">
        <f>IF(NOT(ISNUMBER(AB19)),"",IF(AB19&gt;=90,"A+",IF(AB19&gt;=80,"A",IF(AB19&gt;=70,"B+",IF(AB19&gt;=60,"B",IF(AB19&gt;=50,"C+",IF(AB19&gt;=40,"C","F")))))))</f>
        <v/>
      </c>
      <c r="AD19" s="10" t="n"/>
      <c r="AE19" s="10" t="n"/>
      <c r="AF19" s="13" t="n"/>
    </row>
    <row r="20">
      <c r="A20" s="10" t="n"/>
      <c r="B20" s="10" t="n"/>
      <c r="C20" s="10" t="n"/>
      <c r="D20" s="10" t="n"/>
      <c r="E20" s="10" t="n"/>
      <c r="F20" s="10" t="n"/>
      <c r="G20" s="10" t="n"/>
      <c r="H20" s="10" t="n"/>
      <c r="I20" s="11">
        <f>IF(COUNT(D20:H20)=0,"",ROUND(AVERAGE(D20:H20)*10,2))</f>
        <v/>
      </c>
      <c r="J20" s="10" t="n"/>
      <c r="K20" s="10" t="n"/>
      <c r="L20" s="10" t="n"/>
      <c r="M20" s="10" t="n"/>
      <c r="N20" s="11">
        <f>IF(COUNT(J20:L20)=0,"",ROUND((SUM(J20:L20)+0.5*N(M20))/(COUNT(J20:L20)+0.5*COUNT(M20))*10,2))</f>
        <v/>
      </c>
      <c r="O20" s="10" t="n"/>
      <c r="P20" s="10" t="n"/>
      <c r="Q20" s="10" t="n"/>
      <c r="R20" s="10" t="n"/>
      <c r="S20" s="10" t="n"/>
      <c r="T20" s="11">
        <f>IF(O20="In band",10,IF(OR(O20="Too slow",O20="Too fast"),6.5,""))</f>
        <v/>
      </c>
      <c r="U20" s="11">
        <f>IF(P20="","",ROUND(10*MAX(0,1-P20/8),2))</f>
        <v/>
      </c>
      <c r="V20" s="11">
        <f>IF(Q20="","",ROUND(10*MAX(0,1-Q20/12),2))</f>
        <v/>
      </c>
      <c r="W20" s="11">
        <f>IF(R20="","",ROUND(10*MAX(0,1-R20/6),2))</f>
        <v/>
      </c>
      <c r="X20" s="11">
        <f>IF(S20="","",ROUND(MIN(10,MAX(0,S20/10)),2))</f>
        <v/>
      </c>
      <c r="Y20" s="11">
        <f>IF(COUNT(T20:X20)=0,"",ROUND(AVERAGE(T20:X20)*10,2))</f>
        <v/>
      </c>
      <c r="Z20" s="11">
        <f>IF(COUNT(I20,N20,Y20)=0,"",ROUND(AVERAGE(I20,N20,Y20),2))</f>
        <v/>
      </c>
      <c r="AA20" s="10" t="n"/>
      <c r="AB20" s="12">
        <f>IF(Z20="","",IF(AND(C20="With technical accuracy",NOT(ISNUMBER(AA20))),"Enter technical",ROUND(IF(AND(C20="With technical accuracy",ISNUMBER(AA20)),0.5*Z20+0.5*AA20*10,Z20),2)))</f>
        <v/>
      </c>
      <c r="AC20" s="12">
        <f>IF(NOT(ISNUMBER(AB20)),"",IF(AB20&gt;=90,"A+",IF(AB20&gt;=80,"A",IF(AB20&gt;=70,"B+",IF(AB20&gt;=60,"B",IF(AB20&gt;=50,"C+",IF(AB20&gt;=40,"C","F")))))))</f>
        <v/>
      </c>
      <c r="AD20" s="10" t="n"/>
      <c r="AE20" s="10" t="n"/>
      <c r="AF20" s="13" t="n"/>
    </row>
    <row r="21">
      <c r="A21" s="10" t="n"/>
      <c r="B21" s="10" t="n"/>
      <c r="C21" s="10" t="n"/>
      <c r="D21" s="10" t="n"/>
      <c r="E21" s="10" t="n"/>
      <c r="F21" s="10" t="n"/>
      <c r="G21" s="10" t="n"/>
      <c r="H21" s="10" t="n"/>
      <c r="I21" s="11">
        <f>IF(COUNT(D21:H21)=0,"",ROUND(AVERAGE(D21:H21)*10,2))</f>
        <v/>
      </c>
      <c r="J21" s="10" t="n"/>
      <c r="K21" s="10" t="n"/>
      <c r="L21" s="10" t="n"/>
      <c r="M21" s="10" t="n"/>
      <c r="N21" s="11">
        <f>IF(COUNT(J21:L21)=0,"",ROUND((SUM(J21:L21)+0.5*N(M21))/(COUNT(J21:L21)+0.5*COUNT(M21))*10,2))</f>
        <v/>
      </c>
      <c r="O21" s="10" t="n"/>
      <c r="P21" s="10" t="n"/>
      <c r="Q21" s="10" t="n"/>
      <c r="R21" s="10" t="n"/>
      <c r="S21" s="10" t="n"/>
      <c r="T21" s="11">
        <f>IF(O21="In band",10,IF(OR(O21="Too slow",O21="Too fast"),6.5,""))</f>
        <v/>
      </c>
      <c r="U21" s="11">
        <f>IF(P21="","",ROUND(10*MAX(0,1-P21/8),2))</f>
        <v/>
      </c>
      <c r="V21" s="11">
        <f>IF(Q21="","",ROUND(10*MAX(0,1-Q21/12),2))</f>
        <v/>
      </c>
      <c r="W21" s="11">
        <f>IF(R21="","",ROUND(10*MAX(0,1-R21/6),2))</f>
        <v/>
      </c>
      <c r="X21" s="11">
        <f>IF(S21="","",ROUND(MIN(10,MAX(0,S21/10)),2))</f>
        <v/>
      </c>
      <c r="Y21" s="11">
        <f>IF(COUNT(T21:X21)=0,"",ROUND(AVERAGE(T21:X21)*10,2))</f>
        <v/>
      </c>
      <c r="Z21" s="11">
        <f>IF(COUNT(I21,N21,Y21)=0,"",ROUND(AVERAGE(I21,N21,Y21),2))</f>
        <v/>
      </c>
      <c r="AA21" s="10" t="n"/>
      <c r="AB21" s="12">
        <f>IF(Z21="","",IF(AND(C21="With technical accuracy",NOT(ISNUMBER(AA21))),"Enter technical",ROUND(IF(AND(C21="With technical accuracy",ISNUMBER(AA21)),0.5*Z21+0.5*AA21*10,Z21),2)))</f>
        <v/>
      </c>
      <c r="AC21" s="12">
        <f>IF(NOT(ISNUMBER(AB21)),"",IF(AB21&gt;=90,"A+",IF(AB21&gt;=80,"A",IF(AB21&gt;=70,"B+",IF(AB21&gt;=60,"B",IF(AB21&gt;=50,"C+",IF(AB21&gt;=40,"C","F")))))))</f>
        <v/>
      </c>
      <c r="AD21" s="10" t="n"/>
      <c r="AE21" s="10" t="n"/>
      <c r="AF21" s="13" t="n"/>
    </row>
    <row r="22">
      <c r="A22" s="10" t="n"/>
      <c r="B22" s="10" t="n"/>
      <c r="C22" s="10" t="n"/>
      <c r="D22" s="10" t="n"/>
      <c r="E22" s="10" t="n"/>
      <c r="F22" s="10" t="n"/>
      <c r="G22" s="10" t="n"/>
      <c r="H22" s="10" t="n"/>
      <c r="I22" s="11">
        <f>IF(COUNT(D22:H22)=0,"",ROUND(AVERAGE(D22:H22)*10,2))</f>
        <v/>
      </c>
      <c r="J22" s="10" t="n"/>
      <c r="K22" s="10" t="n"/>
      <c r="L22" s="10" t="n"/>
      <c r="M22" s="10" t="n"/>
      <c r="N22" s="11">
        <f>IF(COUNT(J22:L22)=0,"",ROUND((SUM(J22:L22)+0.5*N(M22))/(COUNT(J22:L22)+0.5*COUNT(M22))*10,2))</f>
        <v/>
      </c>
      <c r="O22" s="10" t="n"/>
      <c r="P22" s="10" t="n"/>
      <c r="Q22" s="10" t="n"/>
      <c r="R22" s="10" t="n"/>
      <c r="S22" s="10" t="n"/>
      <c r="T22" s="11">
        <f>IF(O22="In band",10,IF(OR(O22="Too slow",O22="Too fast"),6.5,""))</f>
        <v/>
      </c>
      <c r="U22" s="11">
        <f>IF(P22="","",ROUND(10*MAX(0,1-P22/8),2))</f>
        <v/>
      </c>
      <c r="V22" s="11">
        <f>IF(Q22="","",ROUND(10*MAX(0,1-Q22/12),2))</f>
        <v/>
      </c>
      <c r="W22" s="11">
        <f>IF(R22="","",ROUND(10*MAX(0,1-R22/6),2))</f>
        <v/>
      </c>
      <c r="X22" s="11">
        <f>IF(S22="","",ROUND(MIN(10,MAX(0,S22/10)),2))</f>
        <v/>
      </c>
      <c r="Y22" s="11">
        <f>IF(COUNT(T22:X22)=0,"",ROUND(AVERAGE(T22:X22)*10,2))</f>
        <v/>
      </c>
      <c r="Z22" s="11">
        <f>IF(COUNT(I22,N22,Y22)=0,"",ROUND(AVERAGE(I22,N22,Y22),2))</f>
        <v/>
      </c>
      <c r="AA22" s="10" t="n"/>
      <c r="AB22" s="12">
        <f>IF(Z22="","",IF(AND(C22="With technical accuracy",NOT(ISNUMBER(AA22))),"Enter technical",ROUND(IF(AND(C22="With technical accuracy",ISNUMBER(AA22)),0.5*Z22+0.5*AA22*10,Z22),2)))</f>
        <v/>
      </c>
      <c r="AC22" s="12">
        <f>IF(NOT(ISNUMBER(AB22)),"",IF(AB22&gt;=90,"A+",IF(AB22&gt;=80,"A",IF(AB22&gt;=70,"B+",IF(AB22&gt;=60,"B",IF(AB22&gt;=50,"C+",IF(AB22&gt;=40,"C","F")))))))</f>
        <v/>
      </c>
      <c r="AD22" s="10" t="n"/>
      <c r="AE22" s="10" t="n"/>
      <c r="AF22" s="13" t="n"/>
    </row>
    <row r="23">
      <c r="A23" s="10" t="n"/>
      <c r="B23" s="10" t="n"/>
      <c r="C23" s="10" t="n"/>
      <c r="D23" s="10" t="n"/>
      <c r="E23" s="10" t="n"/>
      <c r="F23" s="10" t="n"/>
      <c r="G23" s="10" t="n"/>
      <c r="H23" s="10" t="n"/>
      <c r="I23" s="11">
        <f>IF(COUNT(D23:H23)=0,"",ROUND(AVERAGE(D23:H23)*10,2))</f>
        <v/>
      </c>
      <c r="J23" s="10" t="n"/>
      <c r="K23" s="10" t="n"/>
      <c r="L23" s="10" t="n"/>
      <c r="M23" s="10" t="n"/>
      <c r="N23" s="11">
        <f>IF(COUNT(J23:L23)=0,"",ROUND((SUM(J23:L23)+0.5*N(M23))/(COUNT(J23:L23)+0.5*COUNT(M23))*10,2))</f>
        <v/>
      </c>
      <c r="O23" s="10" t="n"/>
      <c r="P23" s="10" t="n"/>
      <c r="Q23" s="10" t="n"/>
      <c r="R23" s="10" t="n"/>
      <c r="S23" s="10" t="n"/>
      <c r="T23" s="11">
        <f>IF(O23="In band",10,IF(OR(O23="Too slow",O23="Too fast"),6.5,""))</f>
        <v/>
      </c>
      <c r="U23" s="11">
        <f>IF(P23="","",ROUND(10*MAX(0,1-P23/8),2))</f>
        <v/>
      </c>
      <c r="V23" s="11">
        <f>IF(Q23="","",ROUND(10*MAX(0,1-Q23/12),2))</f>
        <v/>
      </c>
      <c r="W23" s="11">
        <f>IF(R23="","",ROUND(10*MAX(0,1-R23/6),2))</f>
        <v/>
      </c>
      <c r="X23" s="11">
        <f>IF(S23="","",ROUND(MIN(10,MAX(0,S23/10)),2))</f>
        <v/>
      </c>
      <c r="Y23" s="11">
        <f>IF(COUNT(T23:X23)=0,"",ROUND(AVERAGE(T23:X23)*10,2))</f>
        <v/>
      </c>
      <c r="Z23" s="11">
        <f>IF(COUNT(I23,N23,Y23)=0,"",ROUND(AVERAGE(I23,N23,Y23),2))</f>
        <v/>
      </c>
      <c r="AA23" s="10" t="n"/>
      <c r="AB23" s="12">
        <f>IF(Z23="","",IF(AND(C23="With technical accuracy",NOT(ISNUMBER(AA23))),"Enter technical",ROUND(IF(AND(C23="With technical accuracy",ISNUMBER(AA23)),0.5*Z23+0.5*AA23*10,Z23),2)))</f>
        <v/>
      </c>
      <c r="AC23" s="12">
        <f>IF(NOT(ISNUMBER(AB23)),"",IF(AB23&gt;=90,"A+",IF(AB23&gt;=80,"A",IF(AB23&gt;=70,"B+",IF(AB23&gt;=60,"B",IF(AB23&gt;=50,"C+",IF(AB23&gt;=40,"C","F")))))))</f>
        <v/>
      </c>
      <c r="AD23" s="10" t="n"/>
      <c r="AE23" s="10" t="n"/>
      <c r="AF23" s="13" t="n"/>
    </row>
    <row r="24">
      <c r="A24" s="10" t="n"/>
      <c r="B24" s="10" t="n"/>
      <c r="C24" s="10" t="n"/>
      <c r="D24" s="10" t="n"/>
      <c r="E24" s="10" t="n"/>
      <c r="F24" s="10" t="n"/>
      <c r="G24" s="10" t="n"/>
      <c r="H24" s="10" t="n"/>
      <c r="I24" s="11">
        <f>IF(COUNT(D24:H24)=0,"",ROUND(AVERAGE(D24:H24)*10,2))</f>
        <v/>
      </c>
      <c r="J24" s="10" t="n"/>
      <c r="K24" s="10" t="n"/>
      <c r="L24" s="10" t="n"/>
      <c r="M24" s="10" t="n"/>
      <c r="N24" s="11">
        <f>IF(COUNT(J24:L24)=0,"",ROUND((SUM(J24:L24)+0.5*N(M24))/(COUNT(J24:L24)+0.5*COUNT(M24))*10,2))</f>
        <v/>
      </c>
      <c r="O24" s="10" t="n"/>
      <c r="P24" s="10" t="n"/>
      <c r="Q24" s="10" t="n"/>
      <c r="R24" s="10" t="n"/>
      <c r="S24" s="10" t="n"/>
      <c r="T24" s="11">
        <f>IF(O24="In band",10,IF(OR(O24="Too slow",O24="Too fast"),6.5,""))</f>
        <v/>
      </c>
      <c r="U24" s="11">
        <f>IF(P24="","",ROUND(10*MAX(0,1-P24/8),2))</f>
        <v/>
      </c>
      <c r="V24" s="11">
        <f>IF(Q24="","",ROUND(10*MAX(0,1-Q24/12),2))</f>
        <v/>
      </c>
      <c r="W24" s="11">
        <f>IF(R24="","",ROUND(10*MAX(0,1-R24/6),2))</f>
        <v/>
      </c>
      <c r="X24" s="11">
        <f>IF(S24="","",ROUND(MIN(10,MAX(0,S24/10)),2))</f>
        <v/>
      </c>
      <c r="Y24" s="11">
        <f>IF(COUNT(T24:X24)=0,"",ROUND(AVERAGE(T24:X24)*10,2))</f>
        <v/>
      </c>
      <c r="Z24" s="11">
        <f>IF(COUNT(I24,N24,Y24)=0,"",ROUND(AVERAGE(I24,N24,Y24),2))</f>
        <v/>
      </c>
      <c r="AA24" s="10" t="n"/>
      <c r="AB24" s="12">
        <f>IF(Z24="","",IF(AND(C24="With technical accuracy",NOT(ISNUMBER(AA24))),"Enter technical",ROUND(IF(AND(C24="With technical accuracy",ISNUMBER(AA24)),0.5*Z24+0.5*AA24*10,Z24),2)))</f>
        <v/>
      </c>
      <c r="AC24" s="12">
        <f>IF(NOT(ISNUMBER(AB24)),"",IF(AB24&gt;=90,"A+",IF(AB24&gt;=80,"A",IF(AB24&gt;=70,"B+",IF(AB24&gt;=60,"B",IF(AB24&gt;=50,"C+",IF(AB24&gt;=40,"C","F")))))))</f>
        <v/>
      </c>
      <c r="AD24" s="10" t="n"/>
      <c r="AE24" s="10" t="n"/>
      <c r="AF24" s="13" t="n"/>
    </row>
  </sheetData>
  <mergeCells count="6">
    <mergeCell ref="J3:N3"/>
    <mergeCell ref="O3:Y3"/>
    <mergeCell ref="Z3:AC3"/>
    <mergeCell ref="AD3:AF3"/>
    <mergeCell ref="A3:C3"/>
    <mergeCell ref="D3:I3"/>
  </mergeCells>
  <dataValidations count="6">
    <dataValidation sqref="C5:C24" showDropDown="0" showInputMessage="0" showErrorMessage="0" allowBlank="1" type="list">
      <formula1>"Without technical accuracy,With technical accuracy"</formula1>
    </dataValidation>
    <dataValidation sqref="O5:O24" showDropDown="0" showInputMessage="0" showErrorMessage="0" allowBlank="1" type="list">
      <formula1>"In band,Too slow,Too fast"</formula1>
    </dataValidation>
    <dataValidation sqref="AE5:AE24" showDropDown="0" showInputMessage="0" showErrorMessage="0" allowBlank="1" type="list">
      <formula1>"Yes,Yes, with a small change,No"</formula1>
    </dataValidation>
    <dataValidation sqref="D5:H24 J5:M24 AA5:AA24" showDropDown="0" showInputMessage="0" showErrorMessage="0" allowBlank="1" errorTitle="Out of range" error="Enter a number from 0 to 10." type="decimal" operator="between">
      <formula1>0</formula1>
      <formula2>10</formula2>
    </dataValidation>
    <dataValidation sqref="P5:R24" showDropDown="0" showInputMessage="0" showErrorMessage="0" allowBlank="1" errorTitle="Invalid count" error="Enter a whole number, 0 or more." type="whole" operator="greaterThanOrEqual">
      <formula1>0</formula1>
    </dataValidation>
    <dataValidation sqref="S5:S24 AD5:AD24" showDropDown="0" showInputMessage="0" showErrorMessage="0" allowBlank="1" errorTitle="Out of range" error="Enter a number from 0 to 100." type="decimal"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36" customWidth="1" min="10" max="10"/>
  </cols>
  <sheetData>
    <row r="1">
      <c r="A1" s="5" t="inlineStr">
        <is>
          <t>System results (paste from the Viva Assessment page, scorer v1.2)</t>
        </is>
      </c>
    </row>
    <row r="2">
      <c r="A2" t="inlineStr">
        <is>
          <t>Use the same Video ID as on the Marking sheet. Component scores are the family scores out of 100.</t>
        </is>
      </c>
    </row>
    <row r="4">
      <c r="A4" s="14" t="inlineStr">
        <is>
          <t>Video ID</t>
        </is>
      </c>
      <c r="B4" s="14" t="inlineStr">
        <is>
          <t>Engagement /100</t>
        </is>
      </c>
      <c r="C4" s="14" t="inlineStr">
        <is>
          <t>Audio /100</t>
        </is>
      </c>
      <c r="D4" s="14" t="inlineStr">
        <is>
          <t>Transcript /100</t>
        </is>
      </c>
      <c r="E4" s="14" t="inlineStr">
        <is>
          <t>AI performance /100</t>
        </is>
      </c>
      <c r="F4" s="14" t="inlineStr">
        <is>
          <t>Technical /10</t>
        </is>
      </c>
      <c r="G4" s="14" t="inlineStr">
        <is>
          <t>Final /100</t>
        </is>
      </c>
      <c r="H4" s="14" t="inlineStr">
        <is>
          <t>Grade</t>
        </is>
      </c>
      <c r="I4" s="14" t="inlineStr">
        <is>
          <t>Status</t>
        </is>
      </c>
      <c r="J4" s="14" t="inlineStr">
        <is>
          <t>Notes</t>
        </is>
      </c>
    </row>
    <row r="5">
      <c r="A5" s="15">
        <f>IF(Marking!A5="","",Marking!A5)</f>
        <v/>
      </c>
      <c r="B5" s="16" t="n"/>
      <c r="C5" s="16" t="n"/>
      <c r="D5" s="16" t="n"/>
      <c r="E5" s="16" t="n"/>
      <c r="F5" s="16" t="n"/>
      <c r="G5" s="16" t="n"/>
      <c r="H5" s="16" t="n"/>
      <c r="I5" s="16" t="n"/>
      <c r="J5" s="16" t="n"/>
    </row>
    <row r="6">
      <c r="A6" s="15">
        <f>IF(Marking!A6="","",Marking!A6)</f>
        <v/>
      </c>
      <c r="B6" s="16" t="n"/>
      <c r="C6" s="16" t="n"/>
      <c r="D6" s="16" t="n"/>
      <c r="E6" s="16" t="n"/>
      <c r="F6" s="16" t="n"/>
      <c r="G6" s="16" t="n"/>
      <c r="H6" s="16" t="n"/>
      <c r="I6" s="16" t="n"/>
      <c r="J6" s="16" t="n"/>
    </row>
    <row r="7">
      <c r="A7" s="15">
        <f>IF(Marking!A7="","",Marking!A7)</f>
        <v/>
      </c>
      <c r="B7" s="16" t="n"/>
      <c r="C7" s="16" t="n"/>
      <c r="D7" s="16" t="n"/>
      <c r="E7" s="16" t="n"/>
      <c r="F7" s="16" t="n"/>
      <c r="G7" s="16" t="n"/>
      <c r="H7" s="16" t="n"/>
      <c r="I7" s="16" t="n"/>
      <c r="J7" s="16" t="n"/>
    </row>
    <row r="8">
      <c r="A8" s="15">
        <f>IF(Marking!A8="","",Marking!A8)</f>
        <v/>
      </c>
      <c r="B8" s="16" t="n"/>
      <c r="C8" s="16" t="n"/>
      <c r="D8" s="16" t="n"/>
      <c r="E8" s="16" t="n"/>
      <c r="F8" s="16" t="n"/>
      <c r="G8" s="16" t="n"/>
      <c r="H8" s="16" t="n"/>
      <c r="I8" s="16" t="n"/>
      <c r="J8" s="16" t="n"/>
    </row>
    <row r="9">
      <c r="A9" s="15">
        <f>IF(Marking!A9="","",Marking!A9)</f>
        <v/>
      </c>
      <c r="B9" s="16" t="n"/>
      <c r="C9" s="16" t="n"/>
      <c r="D9" s="16" t="n"/>
      <c r="E9" s="16" t="n"/>
      <c r="F9" s="16" t="n"/>
      <c r="G9" s="16" t="n"/>
      <c r="H9" s="16" t="n"/>
      <c r="I9" s="16" t="n"/>
      <c r="J9" s="16" t="n"/>
    </row>
    <row r="10">
      <c r="A10" s="15">
        <f>IF(Marking!A10="","",Marking!A10)</f>
        <v/>
      </c>
      <c r="B10" s="16" t="n"/>
      <c r="C10" s="16" t="n"/>
      <c r="D10" s="16" t="n"/>
      <c r="E10" s="16" t="n"/>
      <c r="F10" s="16" t="n"/>
      <c r="G10" s="16" t="n"/>
      <c r="H10" s="16" t="n"/>
      <c r="I10" s="16" t="n"/>
      <c r="J10" s="16" t="n"/>
    </row>
    <row r="11">
      <c r="A11" s="15">
        <f>IF(Marking!A11="","",Marking!A11)</f>
        <v/>
      </c>
      <c r="B11" s="16" t="n"/>
      <c r="C11" s="16" t="n"/>
      <c r="D11" s="16" t="n"/>
      <c r="E11" s="16" t="n"/>
      <c r="F11" s="16" t="n"/>
      <c r="G11" s="16" t="n"/>
      <c r="H11" s="16" t="n"/>
      <c r="I11" s="16" t="n"/>
      <c r="J11" s="16" t="n"/>
    </row>
    <row r="12">
      <c r="A12" s="15">
        <f>IF(Marking!A12="","",Marking!A12)</f>
        <v/>
      </c>
      <c r="B12" s="16" t="n"/>
      <c r="C12" s="16" t="n"/>
      <c r="D12" s="16" t="n"/>
      <c r="E12" s="16" t="n"/>
      <c r="F12" s="16" t="n"/>
      <c r="G12" s="16" t="n"/>
      <c r="H12" s="16" t="n"/>
      <c r="I12" s="16" t="n"/>
      <c r="J12" s="16" t="n"/>
    </row>
    <row r="13">
      <c r="A13" s="15">
        <f>IF(Marking!A13="","",Marking!A13)</f>
        <v/>
      </c>
      <c r="B13" s="16" t="n"/>
      <c r="C13" s="16" t="n"/>
      <c r="D13" s="16" t="n"/>
      <c r="E13" s="16" t="n"/>
      <c r="F13" s="16" t="n"/>
      <c r="G13" s="16" t="n"/>
      <c r="H13" s="16" t="n"/>
      <c r="I13" s="16" t="n"/>
      <c r="J13" s="16" t="n"/>
    </row>
    <row r="14">
      <c r="A14" s="15">
        <f>IF(Marking!A14="","",Marking!A14)</f>
        <v/>
      </c>
      <c r="B14" s="16" t="n"/>
      <c r="C14" s="16" t="n"/>
      <c r="D14" s="16" t="n"/>
      <c r="E14" s="16" t="n"/>
      <c r="F14" s="16" t="n"/>
      <c r="G14" s="16" t="n"/>
      <c r="H14" s="16" t="n"/>
      <c r="I14" s="16" t="n"/>
      <c r="J14" s="16" t="n"/>
    </row>
    <row r="15">
      <c r="A15" s="15">
        <f>IF(Marking!A15="","",Marking!A15)</f>
        <v/>
      </c>
      <c r="B15" s="16" t="n"/>
      <c r="C15" s="16" t="n"/>
      <c r="D15" s="16" t="n"/>
      <c r="E15" s="16" t="n"/>
      <c r="F15" s="16" t="n"/>
      <c r="G15" s="16" t="n"/>
      <c r="H15" s="16" t="n"/>
      <c r="I15" s="16" t="n"/>
      <c r="J15" s="16" t="n"/>
    </row>
    <row r="16">
      <c r="A16" s="15">
        <f>IF(Marking!A16="","",Marking!A16)</f>
        <v/>
      </c>
      <c r="B16" s="16" t="n"/>
      <c r="C16" s="16" t="n"/>
      <c r="D16" s="16" t="n"/>
      <c r="E16" s="16" t="n"/>
      <c r="F16" s="16" t="n"/>
      <c r="G16" s="16" t="n"/>
      <c r="H16" s="16" t="n"/>
      <c r="I16" s="16" t="n"/>
      <c r="J16" s="16" t="n"/>
    </row>
    <row r="17">
      <c r="A17" s="15">
        <f>IF(Marking!A17="","",Marking!A17)</f>
        <v/>
      </c>
      <c r="B17" s="16" t="n"/>
      <c r="C17" s="16" t="n"/>
      <c r="D17" s="16" t="n"/>
      <c r="E17" s="16" t="n"/>
      <c r="F17" s="16" t="n"/>
      <c r="G17" s="16" t="n"/>
      <c r="H17" s="16" t="n"/>
      <c r="I17" s="16" t="n"/>
      <c r="J17" s="16" t="n"/>
    </row>
    <row r="18">
      <c r="A18" s="15">
        <f>IF(Marking!A18="","",Marking!A18)</f>
        <v/>
      </c>
      <c r="B18" s="16" t="n"/>
      <c r="C18" s="16" t="n"/>
      <c r="D18" s="16" t="n"/>
      <c r="E18" s="16" t="n"/>
      <c r="F18" s="16" t="n"/>
      <c r="G18" s="16" t="n"/>
      <c r="H18" s="16" t="n"/>
      <c r="I18" s="16" t="n"/>
      <c r="J18" s="16" t="n"/>
    </row>
    <row r="19">
      <c r="A19" s="15">
        <f>IF(Marking!A19="","",Marking!A19)</f>
        <v/>
      </c>
      <c r="B19" s="16" t="n"/>
      <c r="C19" s="16" t="n"/>
      <c r="D19" s="16" t="n"/>
      <c r="E19" s="16" t="n"/>
      <c r="F19" s="16" t="n"/>
      <c r="G19" s="16" t="n"/>
      <c r="H19" s="16" t="n"/>
      <c r="I19" s="16" t="n"/>
      <c r="J19" s="16" t="n"/>
    </row>
    <row r="20">
      <c r="A20" s="15">
        <f>IF(Marking!A20="","",Marking!A20)</f>
        <v/>
      </c>
      <c r="B20" s="16" t="n"/>
      <c r="C20" s="16" t="n"/>
      <c r="D20" s="16" t="n"/>
      <c r="E20" s="16" t="n"/>
      <c r="F20" s="16" t="n"/>
      <c r="G20" s="16" t="n"/>
      <c r="H20" s="16" t="n"/>
      <c r="I20" s="16" t="n"/>
      <c r="J20" s="16" t="n"/>
    </row>
    <row r="21">
      <c r="A21" s="15">
        <f>IF(Marking!A21="","",Marking!A21)</f>
        <v/>
      </c>
      <c r="B21" s="16" t="n"/>
      <c r="C21" s="16" t="n"/>
      <c r="D21" s="16" t="n"/>
      <c r="E21" s="16" t="n"/>
      <c r="F21" s="16" t="n"/>
      <c r="G21" s="16" t="n"/>
      <c r="H21" s="16" t="n"/>
      <c r="I21" s="16" t="n"/>
      <c r="J21" s="16" t="n"/>
    </row>
    <row r="22">
      <c r="A22" s="15">
        <f>IF(Marking!A22="","",Marking!A22)</f>
        <v/>
      </c>
      <c r="B22" s="16" t="n"/>
      <c r="C22" s="16" t="n"/>
      <c r="D22" s="16" t="n"/>
      <c r="E22" s="16" t="n"/>
      <c r="F22" s="16" t="n"/>
      <c r="G22" s="16" t="n"/>
      <c r="H22" s="16" t="n"/>
      <c r="I22" s="16" t="n"/>
      <c r="J22" s="16" t="n"/>
    </row>
    <row r="23">
      <c r="A23" s="15">
        <f>IF(Marking!A23="","",Marking!A23)</f>
        <v/>
      </c>
      <c r="B23" s="16" t="n"/>
      <c r="C23" s="16" t="n"/>
      <c r="D23" s="16" t="n"/>
      <c r="E23" s="16" t="n"/>
      <c r="F23" s="16" t="n"/>
      <c r="G23" s="16" t="n"/>
      <c r="H23" s="16" t="n"/>
      <c r="I23" s="16" t="n"/>
      <c r="J23" s="16" t="n"/>
    </row>
    <row r="24">
      <c r="A24" s="15">
        <f>IF(Marking!A24="","",Marking!A24)</f>
        <v/>
      </c>
      <c r="B24" s="16" t="n"/>
      <c r="C24" s="16" t="n"/>
      <c r="D24" s="16" t="n"/>
      <c r="E24" s="16" t="n"/>
      <c r="F24" s="16" t="n"/>
      <c r="G24" s="16" t="n"/>
      <c r="H24" s="16" t="n"/>
      <c r="I24" s="16" t="n"/>
      <c r="J24" s="16" t="n"/>
    </row>
  </sheetData>
  <dataValidations count="1">
    <dataValidation sqref="I5:I24" showDropDown="0" showInputMessage="0" showErrorMessage="0" allowBlank="1" type="list">
      <formula1>"VALID,INCOMPLETE"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5" t="inlineStr">
        <is>
          <t>Examiner vs system comparison (fills in automatically)</t>
        </is>
      </c>
    </row>
    <row r="2">
      <c r="A2" t="inlineStr">
        <is>
          <t>Difference = System minus Examiner. Positive means the system marked higher than the lecturer.</t>
        </is>
      </c>
    </row>
    <row r="4" ht="45" customHeight="1">
      <c r="A4" s="9" t="inlineStr">
        <is>
          <t>Video ID</t>
        </is>
      </c>
      <c r="B4" s="9" t="inlineStr">
        <is>
          <t>Engagement: Examiner</t>
        </is>
      </c>
      <c r="C4" s="9" t="inlineStr">
        <is>
          <t>Engagement: System</t>
        </is>
      </c>
      <c r="D4" s="9" t="inlineStr">
        <is>
          <t>Engagement: Diff</t>
        </is>
      </c>
      <c r="E4" s="9" t="inlineStr">
        <is>
          <t>Voice / Audio: Examiner</t>
        </is>
      </c>
      <c r="F4" s="9" t="inlineStr">
        <is>
          <t>Voice / Audio: System</t>
        </is>
      </c>
      <c r="G4" s="9" t="inlineStr">
        <is>
          <t>Voice / Audio: Diff</t>
        </is>
      </c>
      <c r="H4" s="9" t="inlineStr">
        <is>
          <t>Speech / Transcript: Examiner</t>
        </is>
      </c>
      <c r="I4" s="9" t="inlineStr">
        <is>
          <t>Speech / Transcript: System</t>
        </is>
      </c>
      <c r="J4" s="9" t="inlineStr">
        <is>
          <t>Speech / Transcript: Diff</t>
        </is>
      </c>
      <c r="K4" s="9" t="inlineStr">
        <is>
          <t>Final: Examiner</t>
        </is>
      </c>
      <c r="L4" s="9" t="inlineStr">
        <is>
          <t>Final: System</t>
        </is>
      </c>
      <c r="M4" s="9" t="inlineStr">
        <is>
          <t>Final: Diff</t>
        </is>
      </c>
      <c r="N4" s="9" t="inlineStr">
        <is>
          <t>Final abs diff</t>
        </is>
      </c>
      <c r="O4" s="9" t="inlineStr">
        <is>
          <t>Examiner grade</t>
        </is>
      </c>
      <c r="P4" s="9" t="inlineStr">
        <is>
          <t>System grade</t>
        </is>
      </c>
      <c r="Q4" s="9" t="inlineStr">
        <is>
          <t>Grade match</t>
        </is>
      </c>
      <c r="R4" s="9" t="inlineStr">
        <is>
          <t>Holistic (examiner)</t>
        </is>
      </c>
      <c r="S4" s="9" t="inlineStr">
        <is>
          <t>Holistic vs System diff</t>
        </is>
      </c>
      <c r="T4" s="9" t="inlineStr">
        <is>
          <t>Eng abs</t>
        </is>
      </c>
      <c r="U4" s="9" t="inlineStr">
        <is>
          <t>Audio abs</t>
        </is>
      </c>
      <c r="V4" s="9" t="inlineStr">
        <is>
          <t>Speech abs</t>
        </is>
      </c>
    </row>
    <row r="5">
      <c r="A5" s="15">
        <f>IF(Marking!A5="","",Marking!A5)</f>
        <v/>
      </c>
      <c r="B5" s="15">
        <f>IF(ISNUMBER(Marking!I5),Marking!I5,"")</f>
        <v/>
      </c>
      <c r="C5" s="15">
        <f>IF(ISNUMBER(System!B5),System!B5,"")</f>
        <v/>
      </c>
      <c r="D5" s="15">
        <f>IF(AND(ISNUMBER(B5),ISNUMBER(C5)),ROUND(C5-B5,2),"")</f>
        <v/>
      </c>
      <c r="E5" s="15">
        <f>IF(ISNUMBER(Marking!N5),Marking!N5,"")</f>
        <v/>
      </c>
      <c r="F5" s="15">
        <f>IF(ISNUMBER(System!C5),System!C5,"")</f>
        <v/>
      </c>
      <c r="G5" s="15">
        <f>IF(AND(ISNUMBER(E5),ISNUMBER(F5)),ROUND(F5-E5,2),"")</f>
        <v/>
      </c>
      <c r="H5" s="15">
        <f>IF(ISNUMBER(Marking!Y5),Marking!Y5,"")</f>
        <v/>
      </c>
      <c r="I5" s="15">
        <f>IF(ISNUMBER(System!D5),System!D5,"")</f>
        <v/>
      </c>
      <c r="J5" s="15">
        <f>IF(AND(ISNUMBER(H5),ISNUMBER(I5)),ROUND(I5-H5,2),"")</f>
        <v/>
      </c>
      <c r="K5" s="15">
        <f>IF(ISNUMBER(Marking!AB5),Marking!AB5,"")</f>
        <v/>
      </c>
      <c r="L5" s="15">
        <f>IF(ISNUMBER(System!G5),System!G5,"")</f>
        <v/>
      </c>
      <c r="M5" s="15">
        <f>IF(AND(ISNUMBER(K5),ISNUMBER(L5)),ROUND(L5-K5,2),"")</f>
        <v/>
      </c>
      <c r="N5" s="15">
        <f>IF(ISNUMBER(M5),ABS(M5),"")</f>
        <v/>
      </c>
      <c r="O5" s="15">
        <f>IF(Marking!AC5="","",Marking!AC5)</f>
        <v/>
      </c>
      <c r="P5" s="15">
        <f>IF(System!H5="","",System!H5)</f>
        <v/>
      </c>
      <c r="Q5" s="15">
        <f>IF(AND(O5&lt;&gt;"",P5&lt;&gt;""),IF(O5=P5,"Yes","No"),"")</f>
        <v/>
      </c>
      <c r="R5" s="15">
        <f>IF(ISNUMBER(Marking!AD5),Marking!AD5,"")</f>
        <v/>
      </c>
      <c r="S5" s="15">
        <f>IF(AND(ISNUMBER(R5),ISNUMBER(L5)),ROUND(L5-R5,2),"")</f>
        <v/>
      </c>
      <c r="T5" s="15">
        <f>IF(ISNUMBER(D5),ABS(D5),"")</f>
        <v/>
      </c>
      <c r="U5" s="15">
        <f>IF(ISNUMBER(G5),ABS(G5),"")</f>
        <v/>
      </c>
      <c r="V5" s="15">
        <f>IF(ISNUMBER(J5),ABS(J5),"")</f>
        <v/>
      </c>
    </row>
    <row r="6">
      <c r="A6" s="15">
        <f>IF(Marking!A6="","",Marking!A6)</f>
        <v/>
      </c>
      <c r="B6" s="15">
        <f>IF(ISNUMBER(Marking!I6),Marking!I6,"")</f>
        <v/>
      </c>
      <c r="C6" s="15">
        <f>IF(ISNUMBER(System!B6),System!B6,"")</f>
        <v/>
      </c>
      <c r="D6" s="15">
        <f>IF(AND(ISNUMBER(B6),ISNUMBER(C6)),ROUND(C6-B6,2),"")</f>
        <v/>
      </c>
      <c r="E6" s="15">
        <f>IF(ISNUMBER(Marking!N6),Marking!N6,"")</f>
        <v/>
      </c>
      <c r="F6" s="15">
        <f>IF(ISNUMBER(System!C6),System!C6,"")</f>
        <v/>
      </c>
      <c r="G6" s="15">
        <f>IF(AND(ISNUMBER(E6),ISNUMBER(F6)),ROUND(F6-E6,2),"")</f>
        <v/>
      </c>
      <c r="H6" s="15">
        <f>IF(ISNUMBER(Marking!Y6),Marking!Y6,"")</f>
        <v/>
      </c>
      <c r="I6" s="15">
        <f>IF(ISNUMBER(System!D6),System!D6,"")</f>
        <v/>
      </c>
      <c r="J6" s="15">
        <f>IF(AND(ISNUMBER(H6),ISNUMBER(I6)),ROUND(I6-H6,2),"")</f>
        <v/>
      </c>
      <c r="K6" s="15">
        <f>IF(ISNUMBER(Marking!AB6),Marking!AB6,"")</f>
        <v/>
      </c>
      <c r="L6" s="15">
        <f>IF(ISNUMBER(System!G6),System!G6,"")</f>
        <v/>
      </c>
      <c r="M6" s="15">
        <f>IF(AND(ISNUMBER(K6),ISNUMBER(L6)),ROUND(L6-K6,2),"")</f>
        <v/>
      </c>
      <c r="N6" s="15">
        <f>IF(ISNUMBER(M6),ABS(M6),"")</f>
        <v/>
      </c>
      <c r="O6" s="15">
        <f>IF(Marking!AC6="","",Marking!AC6)</f>
        <v/>
      </c>
      <c r="P6" s="15">
        <f>IF(System!H6="","",System!H6)</f>
        <v/>
      </c>
      <c r="Q6" s="15">
        <f>IF(AND(O6&lt;&gt;"",P6&lt;&gt;""),IF(O6=P6,"Yes","No"),"")</f>
        <v/>
      </c>
      <c r="R6" s="15">
        <f>IF(ISNUMBER(Marking!AD6),Marking!AD6,"")</f>
        <v/>
      </c>
      <c r="S6" s="15">
        <f>IF(AND(ISNUMBER(R6),ISNUMBER(L6)),ROUND(L6-R6,2),"")</f>
        <v/>
      </c>
      <c r="T6" s="15">
        <f>IF(ISNUMBER(D6),ABS(D6),"")</f>
        <v/>
      </c>
      <c r="U6" s="15">
        <f>IF(ISNUMBER(G6),ABS(G6),"")</f>
        <v/>
      </c>
      <c r="V6" s="15">
        <f>IF(ISNUMBER(J6),ABS(J6),"")</f>
        <v/>
      </c>
    </row>
    <row r="7">
      <c r="A7" s="15">
        <f>IF(Marking!A7="","",Marking!A7)</f>
        <v/>
      </c>
      <c r="B7" s="15">
        <f>IF(ISNUMBER(Marking!I7),Marking!I7,"")</f>
        <v/>
      </c>
      <c r="C7" s="15">
        <f>IF(ISNUMBER(System!B7),System!B7,"")</f>
        <v/>
      </c>
      <c r="D7" s="15">
        <f>IF(AND(ISNUMBER(B7),ISNUMBER(C7)),ROUND(C7-B7,2),"")</f>
        <v/>
      </c>
      <c r="E7" s="15">
        <f>IF(ISNUMBER(Marking!N7),Marking!N7,"")</f>
        <v/>
      </c>
      <c r="F7" s="15">
        <f>IF(ISNUMBER(System!C7),System!C7,"")</f>
        <v/>
      </c>
      <c r="G7" s="15">
        <f>IF(AND(ISNUMBER(E7),ISNUMBER(F7)),ROUND(F7-E7,2),"")</f>
        <v/>
      </c>
      <c r="H7" s="15">
        <f>IF(ISNUMBER(Marking!Y7),Marking!Y7,"")</f>
        <v/>
      </c>
      <c r="I7" s="15">
        <f>IF(ISNUMBER(System!D7),System!D7,"")</f>
        <v/>
      </c>
      <c r="J7" s="15">
        <f>IF(AND(ISNUMBER(H7),ISNUMBER(I7)),ROUND(I7-H7,2),"")</f>
        <v/>
      </c>
      <c r="K7" s="15">
        <f>IF(ISNUMBER(Marking!AB7),Marking!AB7,"")</f>
        <v/>
      </c>
      <c r="L7" s="15">
        <f>IF(ISNUMBER(System!G7),System!G7,"")</f>
        <v/>
      </c>
      <c r="M7" s="15">
        <f>IF(AND(ISNUMBER(K7),ISNUMBER(L7)),ROUND(L7-K7,2),"")</f>
        <v/>
      </c>
      <c r="N7" s="15">
        <f>IF(ISNUMBER(M7),ABS(M7),"")</f>
        <v/>
      </c>
      <c r="O7" s="15">
        <f>IF(Marking!AC7="","",Marking!AC7)</f>
        <v/>
      </c>
      <c r="P7" s="15">
        <f>IF(System!H7="","",System!H7)</f>
        <v/>
      </c>
      <c r="Q7" s="15">
        <f>IF(AND(O7&lt;&gt;"",P7&lt;&gt;""),IF(O7=P7,"Yes","No"),"")</f>
        <v/>
      </c>
      <c r="R7" s="15">
        <f>IF(ISNUMBER(Marking!AD7),Marking!AD7,"")</f>
        <v/>
      </c>
      <c r="S7" s="15">
        <f>IF(AND(ISNUMBER(R7),ISNUMBER(L7)),ROUND(L7-R7,2),"")</f>
        <v/>
      </c>
      <c r="T7" s="15">
        <f>IF(ISNUMBER(D7),ABS(D7),"")</f>
        <v/>
      </c>
      <c r="U7" s="15">
        <f>IF(ISNUMBER(G7),ABS(G7),"")</f>
        <v/>
      </c>
      <c r="V7" s="15">
        <f>IF(ISNUMBER(J7),ABS(J7),"")</f>
        <v/>
      </c>
    </row>
    <row r="8">
      <c r="A8" s="15">
        <f>IF(Marking!A8="","",Marking!A8)</f>
        <v/>
      </c>
      <c r="B8" s="15">
        <f>IF(ISNUMBER(Marking!I8),Marking!I8,"")</f>
        <v/>
      </c>
      <c r="C8" s="15">
        <f>IF(ISNUMBER(System!B8),System!B8,"")</f>
        <v/>
      </c>
      <c r="D8" s="15">
        <f>IF(AND(ISNUMBER(B8),ISNUMBER(C8)),ROUND(C8-B8,2),"")</f>
        <v/>
      </c>
      <c r="E8" s="15">
        <f>IF(ISNUMBER(Marking!N8),Marking!N8,"")</f>
        <v/>
      </c>
      <c r="F8" s="15">
        <f>IF(ISNUMBER(System!C8),System!C8,"")</f>
        <v/>
      </c>
      <c r="G8" s="15">
        <f>IF(AND(ISNUMBER(E8),ISNUMBER(F8)),ROUND(F8-E8,2),"")</f>
        <v/>
      </c>
      <c r="H8" s="15">
        <f>IF(ISNUMBER(Marking!Y8),Marking!Y8,"")</f>
        <v/>
      </c>
      <c r="I8" s="15">
        <f>IF(ISNUMBER(System!D8),System!D8,"")</f>
        <v/>
      </c>
      <c r="J8" s="15">
        <f>IF(AND(ISNUMBER(H8),ISNUMBER(I8)),ROUND(I8-H8,2),"")</f>
        <v/>
      </c>
      <c r="K8" s="15">
        <f>IF(ISNUMBER(Marking!AB8),Marking!AB8,"")</f>
        <v/>
      </c>
      <c r="L8" s="15">
        <f>IF(ISNUMBER(System!G8),System!G8,"")</f>
        <v/>
      </c>
      <c r="M8" s="15">
        <f>IF(AND(ISNUMBER(K8),ISNUMBER(L8)),ROUND(L8-K8,2),"")</f>
        <v/>
      </c>
      <c r="N8" s="15">
        <f>IF(ISNUMBER(M8),ABS(M8),"")</f>
        <v/>
      </c>
      <c r="O8" s="15">
        <f>IF(Marking!AC8="","",Marking!AC8)</f>
        <v/>
      </c>
      <c r="P8" s="15">
        <f>IF(System!H8="","",System!H8)</f>
        <v/>
      </c>
      <c r="Q8" s="15">
        <f>IF(AND(O8&lt;&gt;"",P8&lt;&gt;""),IF(O8=P8,"Yes","No"),"")</f>
        <v/>
      </c>
      <c r="R8" s="15">
        <f>IF(ISNUMBER(Marking!AD8),Marking!AD8,"")</f>
        <v/>
      </c>
      <c r="S8" s="15">
        <f>IF(AND(ISNUMBER(R8),ISNUMBER(L8)),ROUND(L8-R8,2),"")</f>
        <v/>
      </c>
      <c r="T8" s="15">
        <f>IF(ISNUMBER(D8),ABS(D8),"")</f>
        <v/>
      </c>
      <c r="U8" s="15">
        <f>IF(ISNUMBER(G8),ABS(G8),"")</f>
        <v/>
      </c>
      <c r="V8" s="15">
        <f>IF(ISNUMBER(J8),ABS(J8),"")</f>
        <v/>
      </c>
    </row>
    <row r="9">
      <c r="A9" s="15">
        <f>IF(Marking!A9="","",Marking!A9)</f>
        <v/>
      </c>
      <c r="B9" s="15">
        <f>IF(ISNUMBER(Marking!I9),Marking!I9,"")</f>
        <v/>
      </c>
      <c r="C9" s="15">
        <f>IF(ISNUMBER(System!B9),System!B9,"")</f>
        <v/>
      </c>
      <c r="D9" s="15">
        <f>IF(AND(ISNUMBER(B9),ISNUMBER(C9)),ROUND(C9-B9,2),"")</f>
        <v/>
      </c>
      <c r="E9" s="15">
        <f>IF(ISNUMBER(Marking!N9),Marking!N9,"")</f>
        <v/>
      </c>
      <c r="F9" s="15">
        <f>IF(ISNUMBER(System!C9),System!C9,"")</f>
        <v/>
      </c>
      <c r="G9" s="15">
        <f>IF(AND(ISNUMBER(E9),ISNUMBER(F9)),ROUND(F9-E9,2),"")</f>
        <v/>
      </c>
      <c r="H9" s="15">
        <f>IF(ISNUMBER(Marking!Y9),Marking!Y9,"")</f>
        <v/>
      </c>
      <c r="I9" s="15">
        <f>IF(ISNUMBER(System!D9),System!D9,"")</f>
        <v/>
      </c>
      <c r="J9" s="15">
        <f>IF(AND(ISNUMBER(H9),ISNUMBER(I9)),ROUND(I9-H9,2),"")</f>
        <v/>
      </c>
      <c r="K9" s="15">
        <f>IF(ISNUMBER(Marking!AB9),Marking!AB9,"")</f>
        <v/>
      </c>
      <c r="L9" s="15">
        <f>IF(ISNUMBER(System!G9),System!G9,"")</f>
        <v/>
      </c>
      <c r="M9" s="15">
        <f>IF(AND(ISNUMBER(K9),ISNUMBER(L9)),ROUND(L9-K9,2),"")</f>
        <v/>
      </c>
      <c r="N9" s="15">
        <f>IF(ISNUMBER(M9),ABS(M9),"")</f>
        <v/>
      </c>
      <c r="O9" s="15">
        <f>IF(Marking!AC9="","",Marking!AC9)</f>
        <v/>
      </c>
      <c r="P9" s="15">
        <f>IF(System!H9="","",System!H9)</f>
        <v/>
      </c>
      <c r="Q9" s="15">
        <f>IF(AND(O9&lt;&gt;"",P9&lt;&gt;""),IF(O9=P9,"Yes","No"),"")</f>
        <v/>
      </c>
      <c r="R9" s="15">
        <f>IF(ISNUMBER(Marking!AD9),Marking!AD9,"")</f>
        <v/>
      </c>
      <c r="S9" s="15">
        <f>IF(AND(ISNUMBER(R9),ISNUMBER(L9)),ROUND(L9-R9,2),"")</f>
        <v/>
      </c>
      <c r="T9" s="15">
        <f>IF(ISNUMBER(D9),ABS(D9),"")</f>
        <v/>
      </c>
      <c r="U9" s="15">
        <f>IF(ISNUMBER(G9),ABS(G9),"")</f>
        <v/>
      </c>
      <c r="V9" s="15">
        <f>IF(ISNUMBER(J9),ABS(J9),"")</f>
        <v/>
      </c>
    </row>
    <row r="10">
      <c r="A10" s="15">
        <f>IF(Marking!A10="","",Marking!A10)</f>
        <v/>
      </c>
      <c r="B10" s="15">
        <f>IF(ISNUMBER(Marking!I10),Marking!I10,"")</f>
        <v/>
      </c>
      <c r="C10" s="15">
        <f>IF(ISNUMBER(System!B10),System!B10,"")</f>
        <v/>
      </c>
      <c r="D10" s="15">
        <f>IF(AND(ISNUMBER(B10),ISNUMBER(C10)),ROUND(C10-B10,2),"")</f>
        <v/>
      </c>
      <c r="E10" s="15">
        <f>IF(ISNUMBER(Marking!N10),Marking!N10,"")</f>
        <v/>
      </c>
      <c r="F10" s="15">
        <f>IF(ISNUMBER(System!C10),System!C10,"")</f>
        <v/>
      </c>
      <c r="G10" s="15">
        <f>IF(AND(ISNUMBER(E10),ISNUMBER(F10)),ROUND(F10-E10,2),"")</f>
        <v/>
      </c>
      <c r="H10" s="15">
        <f>IF(ISNUMBER(Marking!Y10),Marking!Y10,"")</f>
        <v/>
      </c>
      <c r="I10" s="15">
        <f>IF(ISNUMBER(System!D10),System!D10,"")</f>
        <v/>
      </c>
      <c r="J10" s="15">
        <f>IF(AND(ISNUMBER(H10),ISNUMBER(I10)),ROUND(I10-H10,2),"")</f>
        <v/>
      </c>
      <c r="K10" s="15">
        <f>IF(ISNUMBER(Marking!AB10),Marking!AB10,"")</f>
        <v/>
      </c>
      <c r="L10" s="15">
        <f>IF(ISNUMBER(System!G10),System!G10,"")</f>
        <v/>
      </c>
      <c r="M10" s="15">
        <f>IF(AND(ISNUMBER(K10),ISNUMBER(L10)),ROUND(L10-K10,2),"")</f>
        <v/>
      </c>
      <c r="N10" s="15">
        <f>IF(ISNUMBER(M10),ABS(M10),"")</f>
        <v/>
      </c>
      <c r="O10" s="15">
        <f>IF(Marking!AC10="","",Marking!AC10)</f>
        <v/>
      </c>
      <c r="P10" s="15">
        <f>IF(System!H10="","",System!H10)</f>
        <v/>
      </c>
      <c r="Q10" s="15">
        <f>IF(AND(O10&lt;&gt;"",P10&lt;&gt;""),IF(O10=P10,"Yes","No"),"")</f>
        <v/>
      </c>
      <c r="R10" s="15">
        <f>IF(ISNUMBER(Marking!AD10),Marking!AD10,"")</f>
        <v/>
      </c>
      <c r="S10" s="15">
        <f>IF(AND(ISNUMBER(R10),ISNUMBER(L10)),ROUND(L10-R10,2),"")</f>
        <v/>
      </c>
      <c r="T10" s="15">
        <f>IF(ISNUMBER(D10),ABS(D10),"")</f>
        <v/>
      </c>
      <c r="U10" s="15">
        <f>IF(ISNUMBER(G10),ABS(G10),"")</f>
        <v/>
      </c>
      <c r="V10" s="15">
        <f>IF(ISNUMBER(J10),ABS(J10),"")</f>
        <v/>
      </c>
    </row>
    <row r="11">
      <c r="A11" s="15">
        <f>IF(Marking!A11="","",Marking!A11)</f>
        <v/>
      </c>
      <c r="B11" s="15">
        <f>IF(ISNUMBER(Marking!I11),Marking!I11,"")</f>
        <v/>
      </c>
      <c r="C11" s="15">
        <f>IF(ISNUMBER(System!B11),System!B11,"")</f>
        <v/>
      </c>
      <c r="D11" s="15">
        <f>IF(AND(ISNUMBER(B11),ISNUMBER(C11)),ROUND(C11-B11,2),"")</f>
        <v/>
      </c>
      <c r="E11" s="15">
        <f>IF(ISNUMBER(Marking!N11),Marking!N11,"")</f>
        <v/>
      </c>
      <c r="F11" s="15">
        <f>IF(ISNUMBER(System!C11),System!C11,"")</f>
        <v/>
      </c>
      <c r="G11" s="15">
        <f>IF(AND(ISNUMBER(E11),ISNUMBER(F11)),ROUND(F11-E11,2),"")</f>
        <v/>
      </c>
      <c r="H11" s="15">
        <f>IF(ISNUMBER(Marking!Y11),Marking!Y11,"")</f>
        <v/>
      </c>
      <c r="I11" s="15">
        <f>IF(ISNUMBER(System!D11),System!D11,"")</f>
        <v/>
      </c>
      <c r="J11" s="15">
        <f>IF(AND(ISNUMBER(H11),ISNUMBER(I11)),ROUND(I11-H11,2),"")</f>
        <v/>
      </c>
      <c r="K11" s="15">
        <f>IF(ISNUMBER(Marking!AB11),Marking!AB11,"")</f>
        <v/>
      </c>
      <c r="L11" s="15">
        <f>IF(ISNUMBER(System!G11),System!G11,"")</f>
        <v/>
      </c>
      <c r="M11" s="15">
        <f>IF(AND(ISNUMBER(K11),ISNUMBER(L11)),ROUND(L11-K11,2),"")</f>
        <v/>
      </c>
      <c r="N11" s="15">
        <f>IF(ISNUMBER(M11),ABS(M11),"")</f>
        <v/>
      </c>
      <c r="O11" s="15">
        <f>IF(Marking!AC11="","",Marking!AC11)</f>
        <v/>
      </c>
      <c r="P11" s="15">
        <f>IF(System!H11="","",System!H11)</f>
        <v/>
      </c>
      <c r="Q11" s="15">
        <f>IF(AND(O11&lt;&gt;"",P11&lt;&gt;""),IF(O11=P11,"Yes","No"),"")</f>
        <v/>
      </c>
      <c r="R11" s="15">
        <f>IF(ISNUMBER(Marking!AD11),Marking!AD11,"")</f>
        <v/>
      </c>
      <c r="S11" s="15">
        <f>IF(AND(ISNUMBER(R11),ISNUMBER(L11)),ROUND(L11-R11,2),"")</f>
        <v/>
      </c>
      <c r="T11" s="15">
        <f>IF(ISNUMBER(D11),ABS(D11),"")</f>
        <v/>
      </c>
      <c r="U11" s="15">
        <f>IF(ISNUMBER(G11),ABS(G11),"")</f>
        <v/>
      </c>
      <c r="V11" s="15">
        <f>IF(ISNUMBER(J11),ABS(J11),"")</f>
        <v/>
      </c>
    </row>
    <row r="12">
      <c r="A12" s="15">
        <f>IF(Marking!A12="","",Marking!A12)</f>
        <v/>
      </c>
      <c r="B12" s="15">
        <f>IF(ISNUMBER(Marking!I12),Marking!I12,"")</f>
        <v/>
      </c>
      <c r="C12" s="15">
        <f>IF(ISNUMBER(System!B12),System!B12,"")</f>
        <v/>
      </c>
      <c r="D12" s="15">
        <f>IF(AND(ISNUMBER(B12),ISNUMBER(C12)),ROUND(C12-B12,2),"")</f>
        <v/>
      </c>
      <c r="E12" s="15">
        <f>IF(ISNUMBER(Marking!N12),Marking!N12,"")</f>
        <v/>
      </c>
      <c r="F12" s="15">
        <f>IF(ISNUMBER(System!C12),System!C12,"")</f>
        <v/>
      </c>
      <c r="G12" s="15">
        <f>IF(AND(ISNUMBER(E12),ISNUMBER(F12)),ROUND(F12-E12,2),"")</f>
        <v/>
      </c>
      <c r="H12" s="15">
        <f>IF(ISNUMBER(Marking!Y12),Marking!Y12,"")</f>
        <v/>
      </c>
      <c r="I12" s="15">
        <f>IF(ISNUMBER(System!D12),System!D12,"")</f>
        <v/>
      </c>
      <c r="J12" s="15">
        <f>IF(AND(ISNUMBER(H12),ISNUMBER(I12)),ROUND(I12-H12,2),"")</f>
        <v/>
      </c>
      <c r="K12" s="15">
        <f>IF(ISNUMBER(Marking!AB12),Marking!AB12,"")</f>
        <v/>
      </c>
      <c r="L12" s="15">
        <f>IF(ISNUMBER(System!G12),System!G12,"")</f>
        <v/>
      </c>
      <c r="M12" s="15">
        <f>IF(AND(ISNUMBER(K12),ISNUMBER(L12)),ROUND(L12-K12,2),"")</f>
        <v/>
      </c>
      <c r="N12" s="15">
        <f>IF(ISNUMBER(M12),ABS(M12),"")</f>
        <v/>
      </c>
      <c r="O12" s="15">
        <f>IF(Marking!AC12="","",Marking!AC12)</f>
        <v/>
      </c>
      <c r="P12" s="15">
        <f>IF(System!H12="","",System!H12)</f>
        <v/>
      </c>
      <c r="Q12" s="15">
        <f>IF(AND(O12&lt;&gt;"",P12&lt;&gt;""),IF(O12=P12,"Yes","No"),"")</f>
        <v/>
      </c>
      <c r="R12" s="15">
        <f>IF(ISNUMBER(Marking!AD12),Marking!AD12,"")</f>
        <v/>
      </c>
      <c r="S12" s="15">
        <f>IF(AND(ISNUMBER(R12),ISNUMBER(L12)),ROUND(L12-R12,2),"")</f>
        <v/>
      </c>
      <c r="T12" s="15">
        <f>IF(ISNUMBER(D12),ABS(D12),"")</f>
        <v/>
      </c>
      <c r="U12" s="15">
        <f>IF(ISNUMBER(G12),ABS(G12),"")</f>
        <v/>
      </c>
      <c r="V12" s="15">
        <f>IF(ISNUMBER(J12),ABS(J12),"")</f>
        <v/>
      </c>
    </row>
    <row r="13">
      <c r="A13" s="15">
        <f>IF(Marking!A13="","",Marking!A13)</f>
        <v/>
      </c>
      <c r="B13" s="15">
        <f>IF(ISNUMBER(Marking!I13),Marking!I13,"")</f>
        <v/>
      </c>
      <c r="C13" s="15">
        <f>IF(ISNUMBER(System!B13),System!B13,"")</f>
        <v/>
      </c>
      <c r="D13" s="15">
        <f>IF(AND(ISNUMBER(B13),ISNUMBER(C13)),ROUND(C13-B13,2),"")</f>
        <v/>
      </c>
      <c r="E13" s="15">
        <f>IF(ISNUMBER(Marking!N13),Marking!N13,"")</f>
        <v/>
      </c>
      <c r="F13" s="15">
        <f>IF(ISNUMBER(System!C13),System!C13,"")</f>
        <v/>
      </c>
      <c r="G13" s="15">
        <f>IF(AND(ISNUMBER(E13),ISNUMBER(F13)),ROUND(F13-E13,2),"")</f>
        <v/>
      </c>
      <c r="H13" s="15">
        <f>IF(ISNUMBER(Marking!Y13),Marking!Y13,"")</f>
        <v/>
      </c>
      <c r="I13" s="15">
        <f>IF(ISNUMBER(System!D13),System!D13,"")</f>
        <v/>
      </c>
      <c r="J13" s="15">
        <f>IF(AND(ISNUMBER(H13),ISNUMBER(I13)),ROUND(I13-H13,2),"")</f>
        <v/>
      </c>
      <c r="K13" s="15">
        <f>IF(ISNUMBER(Marking!AB13),Marking!AB13,"")</f>
        <v/>
      </c>
      <c r="L13" s="15">
        <f>IF(ISNUMBER(System!G13),System!G13,"")</f>
        <v/>
      </c>
      <c r="M13" s="15">
        <f>IF(AND(ISNUMBER(K13),ISNUMBER(L13)),ROUND(L13-K13,2),"")</f>
        <v/>
      </c>
      <c r="N13" s="15">
        <f>IF(ISNUMBER(M13),ABS(M13),"")</f>
        <v/>
      </c>
      <c r="O13" s="15">
        <f>IF(Marking!AC13="","",Marking!AC13)</f>
        <v/>
      </c>
      <c r="P13" s="15">
        <f>IF(System!H13="","",System!H13)</f>
        <v/>
      </c>
      <c r="Q13" s="15">
        <f>IF(AND(O13&lt;&gt;"",P13&lt;&gt;""),IF(O13=P13,"Yes","No"),"")</f>
        <v/>
      </c>
      <c r="R13" s="15">
        <f>IF(ISNUMBER(Marking!AD13),Marking!AD13,"")</f>
        <v/>
      </c>
      <c r="S13" s="15">
        <f>IF(AND(ISNUMBER(R13),ISNUMBER(L13)),ROUND(L13-R13,2),"")</f>
        <v/>
      </c>
      <c r="T13" s="15">
        <f>IF(ISNUMBER(D13),ABS(D13),"")</f>
        <v/>
      </c>
      <c r="U13" s="15">
        <f>IF(ISNUMBER(G13),ABS(G13),"")</f>
        <v/>
      </c>
      <c r="V13" s="15">
        <f>IF(ISNUMBER(J13),ABS(J13),"")</f>
        <v/>
      </c>
    </row>
    <row r="14">
      <c r="A14" s="15">
        <f>IF(Marking!A14="","",Marking!A14)</f>
        <v/>
      </c>
      <c r="B14" s="15">
        <f>IF(ISNUMBER(Marking!I14),Marking!I14,"")</f>
        <v/>
      </c>
      <c r="C14" s="15">
        <f>IF(ISNUMBER(System!B14),System!B14,"")</f>
        <v/>
      </c>
      <c r="D14" s="15">
        <f>IF(AND(ISNUMBER(B14),ISNUMBER(C14)),ROUND(C14-B14,2),"")</f>
        <v/>
      </c>
      <c r="E14" s="15">
        <f>IF(ISNUMBER(Marking!N14),Marking!N14,"")</f>
        <v/>
      </c>
      <c r="F14" s="15">
        <f>IF(ISNUMBER(System!C14),System!C14,"")</f>
        <v/>
      </c>
      <c r="G14" s="15">
        <f>IF(AND(ISNUMBER(E14),ISNUMBER(F14)),ROUND(F14-E14,2),"")</f>
        <v/>
      </c>
      <c r="H14" s="15">
        <f>IF(ISNUMBER(Marking!Y14),Marking!Y14,"")</f>
        <v/>
      </c>
      <c r="I14" s="15">
        <f>IF(ISNUMBER(System!D14),System!D14,"")</f>
        <v/>
      </c>
      <c r="J14" s="15">
        <f>IF(AND(ISNUMBER(H14),ISNUMBER(I14)),ROUND(I14-H14,2),"")</f>
        <v/>
      </c>
      <c r="K14" s="15">
        <f>IF(ISNUMBER(Marking!AB14),Marking!AB14,"")</f>
        <v/>
      </c>
      <c r="L14" s="15">
        <f>IF(ISNUMBER(System!G14),System!G14,"")</f>
        <v/>
      </c>
      <c r="M14" s="15">
        <f>IF(AND(ISNUMBER(K14),ISNUMBER(L14)),ROUND(L14-K14,2),"")</f>
        <v/>
      </c>
      <c r="N14" s="15">
        <f>IF(ISNUMBER(M14),ABS(M14),"")</f>
        <v/>
      </c>
      <c r="O14" s="15">
        <f>IF(Marking!AC14="","",Marking!AC14)</f>
        <v/>
      </c>
      <c r="P14" s="15">
        <f>IF(System!H14="","",System!H14)</f>
        <v/>
      </c>
      <c r="Q14" s="15">
        <f>IF(AND(O14&lt;&gt;"",P14&lt;&gt;""),IF(O14=P14,"Yes","No"),"")</f>
        <v/>
      </c>
      <c r="R14" s="15">
        <f>IF(ISNUMBER(Marking!AD14),Marking!AD14,"")</f>
        <v/>
      </c>
      <c r="S14" s="15">
        <f>IF(AND(ISNUMBER(R14),ISNUMBER(L14)),ROUND(L14-R14,2),"")</f>
        <v/>
      </c>
      <c r="T14" s="15">
        <f>IF(ISNUMBER(D14),ABS(D14),"")</f>
        <v/>
      </c>
      <c r="U14" s="15">
        <f>IF(ISNUMBER(G14),ABS(G14),"")</f>
        <v/>
      </c>
      <c r="V14" s="15">
        <f>IF(ISNUMBER(J14),ABS(J14),"")</f>
        <v/>
      </c>
    </row>
    <row r="15">
      <c r="A15" s="15">
        <f>IF(Marking!A15="","",Marking!A15)</f>
        <v/>
      </c>
      <c r="B15" s="15">
        <f>IF(ISNUMBER(Marking!I15),Marking!I15,"")</f>
        <v/>
      </c>
      <c r="C15" s="15">
        <f>IF(ISNUMBER(System!B15),System!B15,"")</f>
        <v/>
      </c>
      <c r="D15" s="15">
        <f>IF(AND(ISNUMBER(B15),ISNUMBER(C15)),ROUND(C15-B15,2),"")</f>
        <v/>
      </c>
      <c r="E15" s="15">
        <f>IF(ISNUMBER(Marking!N15),Marking!N15,"")</f>
        <v/>
      </c>
      <c r="F15" s="15">
        <f>IF(ISNUMBER(System!C15),System!C15,"")</f>
        <v/>
      </c>
      <c r="G15" s="15">
        <f>IF(AND(ISNUMBER(E15),ISNUMBER(F15)),ROUND(F15-E15,2),"")</f>
        <v/>
      </c>
      <c r="H15" s="15">
        <f>IF(ISNUMBER(Marking!Y15),Marking!Y15,"")</f>
        <v/>
      </c>
      <c r="I15" s="15">
        <f>IF(ISNUMBER(System!D15),System!D15,"")</f>
        <v/>
      </c>
      <c r="J15" s="15">
        <f>IF(AND(ISNUMBER(H15),ISNUMBER(I15)),ROUND(I15-H15,2),"")</f>
        <v/>
      </c>
      <c r="K15" s="15">
        <f>IF(ISNUMBER(Marking!AB15),Marking!AB15,"")</f>
        <v/>
      </c>
      <c r="L15" s="15">
        <f>IF(ISNUMBER(System!G15),System!G15,"")</f>
        <v/>
      </c>
      <c r="M15" s="15">
        <f>IF(AND(ISNUMBER(K15),ISNUMBER(L15)),ROUND(L15-K15,2),"")</f>
        <v/>
      </c>
      <c r="N15" s="15">
        <f>IF(ISNUMBER(M15),ABS(M15),"")</f>
        <v/>
      </c>
      <c r="O15" s="15">
        <f>IF(Marking!AC15="","",Marking!AC15)</f>
        <v/>
      </c>
      <c r="P15" s="15">
        <f>IF(System!H15="","",System!H15)</f>
        <v/>
      </c>
      <c r="Q15" s="15">
        <f>IF(AND(O15&lt;&gt;"",P15&lt;&gt;""),IF(O15=P15,"Yes","No"),"")</f>
        <v/>
      </c>
      <c r="R15" s="15">
        <f>IF(ISNUMBER(Marking!AD15),Marking!AD15,"")</f>
        <v/>
      </c>
      <c r="S15" s="15">
        <f>IF(AND(ISNUMBER(R15),ISNUMBER(L15)),ROUND(L15-R15,2),"")</f>
        <v/>
      </c>
      <c r="T15" s="15">
        <f>IF(ISNUMBER(D15),ABS(D15),"")</f>
        <v/>
      </c>
      <c r="U15" s="15">
        <f>IF(ISNUMBER(G15),ABS(G15),"")</f>
        <v/>
      </c>
      <c r="V15" s="15">
        <f>IF(ISNUMBER(J15),ABS(J15),"")</f>
        <v/>
      </c>
    </row>
    <row r="16">
      <c r="A16" s="15">
        <f>IF(Marking!A16="","",Marking!A16)</f>
        <v/>
      </c>
      <c r="B16" s="15">
        <f>IF(ISNUMBER(Marking!I16),Marking!I16,"")</f>
        <v/>
      </c>
      <c r="C16" s="15">
        <f>IF(ISNUMBER(System!B16),System!B16,"")</f>
        <v/>
      </c>
      <c r="D16" s="15">
        <f>IF(AND(ISNUMBER(B16),ISNUMBER(C16)),ROUND(C16-B16,2),"")</f>
        <v/>
      </c>
      <c r="E16" s="15">
        <f>IF(ISNUMBER(Marking!N16),Marking!N16,"")</f>
        <v/>
      </c>
      <c r="F16" s="15">
        <f>IF(ISNUMBER(System!C16),System!C16,"")</f>
        <v/>
      </c>
      <c r="G16" s="15">
        <f>IF(AND(ISNUMBER(E16),ISNUMBER(F16)),ROUND(F16-E16,2),"")</f>
        <v/>
      </c>
      <c r="H16" s="15">
        <f>IF(ISNUMBER(Marking!Y16),Marking!Y16,"")</f>
        <v/>
      </c>
      <c r="I16" s="15">
        <f>IF(ISNUMBER(System!D16),System!D16,"")</f>
        <v/>
      </c>
      <c r="J16" s="15">
        <f>IF(AND(ISNUMBER(H16),ISNUMBER(I16)),ROUND(I16-H16,2),"")</f>
        <v/>
      </c>
      <c r="K16" s="15">
        <f>IF(ISNUMBER(Marking!AB16),Marking!AB16,"")</f>
        <v/>
      </c>
      <c r="L16" s="15">
        <f>IF(ISNUMBER(System!G16),System!G16,"")</f>
        <v/>
      </c>
      <c r="M16" s="15">
        <f>IF(AND(ISNUMBER(K16),ISNUMBER(L16)),ROUND(L16-K16,2),"")</f>
        <v/>
      </c>
      <c r="N16" s="15">
        <f>IF(ISNUMBER(M16),ABS(M16),"")</f>
        <v/>
      </c>
      <c r="O16" s="15">
        <f>IF(Marking!AC16="","",Marking!AC16)</f>
        <v/>
      </c>
      <c r="P16" s="15">
        <f>IF(System!H16="","",System!H16)</f>
        <v/>
      </c>
      <c r="Q16" s="15">
        <f>IF(AND(O16&lt;&gt;"",P16&lt;&gt;""),IF(O16=P16,"Yes","No"),"")</f>
        <v/>
      </c>
      <c r="R16" s="15">
        <f>IF(ISNUMBER(Marking!AD16),Marking!AD16,"")</f>
        <v/>
      </c>
      <c r="S16" s="15">
        <f>IF(AND(ISNUMBER(R16),ISNUMBER(L16)),ROUND(L16-R16,2),"")</f>
        <v/>
      </c>
      <c r="T16" s="15">
        <f>IF(ISNUMBER(D16),ABS(D16),"")</f>
        <v/>
      </c>
      <c r="U16" s="15">
        <f>IF(ISNUMBER(G16),ABS(G16),"")</f>
        <v/>
      </c>
      <c r="V16" s="15">
        <f>IF(ISNUMBER(J16),ABS(J16),"")</f>
        <v/>
      </c>
    </row>
    <row r="17">
      <c r="A17" s="15">
        <f>IF(Marking!A17="","",Marking!A17)</f>
        <v/>
      </c>
      <c r="B17" s="15">
        <f>IF(ISNUMBER(Marking!I17),Marking!I17,"")</f>
        <v/>
      </c>
      <c r="C17" s="15">
        <f>IF(ISNUMBER(System!B17),System!B17,"")</f>
        <v/>
      </c>
      <c r="D17" s="15">
        <f>IF(AND(ISNUMBER(B17),ISNUMBER(C17)),ROUND(C17-B17,2),"")</f>
        <v/>
      </c>
      <c r="E17" s="15">
        <f>IF(ISNUMBER(Marking!N17),Marking!N17,"")</f>
        <v/>
      </c>
      <c r="F17" s="15">
        <f>IF(ISNUMBER(System!C17),System!C17,"")</f>
        <v/>
      </c>
      <c r="G17" s="15">
        <f>IF(AND(ISNUMBER(E17),ISNUMBER(F17)),ROUND(F17-E17,2),"")</f>
        <v/>
      </c>
      <c r="H17" s="15">
        <f>IF(ISNUMBER(Marking!Y17),Marking!Y17,"")</f>
        <v/>
      </c>
      <c r="I17" s="15">
        <f>IF(ISNUMBER(System!D17),System!D17,"")</f>
        <v/>
      </c>
      <c r="J17" s="15">
        <f>IF(AND(ISNUMBER(H17),ISNUMBER(I17)),ROUND(I17-H17,2),"")</f>
        <v/>
      </c>
      <c r="K17" s="15">
        <f>IF(ISNUMBER(Marking!AB17),Marking!AB17,"")</f>
        <v/>
      </c>
      <c r="L17" s="15">
        <f>IF(ISNUMBER(System!G17),System!G17,"")</f>
        <v/>
      </c>
      <c r="M17" s="15">
        <f>IF(AND(ISNUMBER(K17),ISNUMBER(L17)),ROUND(L17-K17,2),"")</f>
        <v/>
      </c>
      <c r="N17" s="15">
        <f>IF(ISNUMBER(M17),ABS(M17),"")</f>
        <v/>
      </c>
      <c r="O17" s="15">
        <f>IF(Marking!AC17="","",Marking!AC17)</f>
        <v/>
      </c>
      <c r="P17" s="15">
        <f>IF(System!H17="","",System!H17)</f>
        <v/>
      </c>
      <c r="Q17" s="15">
        <f>IF(AND(O17&lt;&gt;"",P17&lt;&gt;""),IF(O17=P17,"Yes","No"),"")</f>
        <v/>
      </c>
      <c r="R17" s="15">
        <f>IF(ISNUMBER(Marking!AD17),Marking!AD17,"")</f>
        <v/>
      </c>
      <c r="S17" s="15">
        <f>IF(AND(ISNUMBER(R17),ISNUMBER(L17)),ROUND(L17-R17,2),"")</f>
        <v/>
      </c>
      <c r="T17" s="15">
        <f>IF(ISNUMBER(D17),ABS(D17),"")</f>
        <v/>
      </c>
      <c r="U17" s="15">
        <f>IF(ISNUMBER(G17),ABS(G17),"")</f>
        <v/>
      </c>
      <c r="V17" s="15">
        <f>IF(ISNUMBER(J17),ABS(J17),"")</f>
        <v/>
      </c>
    </row>
    <row r="18">
      <c r="A18" s="15">
        <f>IF(Marking!A18="","",Marking!A18)</f>
        <v/>
      </c>
      <c r="B18" s="15">
        <f>IF(ISNUMBER(Marking!I18),Marking!I18,"")</f>
        <v/>
      </c>
      <c r="C18" s="15">
        <f>IF(ISNUMBER(System!B18),System!B18,"")</f>
        <v/>
      </c>
      <c r="D18" s="15">
        <f>IF(AND(ISNUMBER(B18),ISNUMBER(C18)),ROUND(C18-B18,2),"")</f>
        <v/>
      </c>
      <c r="E18" s="15">
        <f>IF(ISNUMBER(Marking!N18),Marking!N18,"")</f>
        <v/>
      </c>
      <c r="F18" s="15">
        <f>IF(ISNUMBER(System!C18),System!C18,"")</f>
        <v/>
      </c>
      <c r="G18" s="15">
        <f>IF(AND(ISNUMBER(E18),ISNUMBER(F18)),ROUND(F18-E18,2),"")</f>
        <v/>
      </c>
      <c r="H18" s="15">
        <f>IF(ISNUMBER(Marking!Y18),Marking!Y18,"")</f>
        <v/>
      </c>
      <c r="I18" s="15">
        <f>IF(ISNUMBER(System!D18),System!D18,"")</f>
        <v/>
      </c>
      <c r="J18" s="15">
        <f>IF(AND(ISNUMBER(H18),ISNUMBER(I18)),ROUND(I18-H18,2),"")</f>
        <v/>
      </c>
      <c r="K18" s="15">
        <f>IF(ISNUMBER(Marking!AB18),Marking!AB18,"")</f>
        <v/>
      </c>
      <c r="L18" s="15">
        <f>IF(ISNUMBER(System!G18),System!G18,"")</f>
        <v/>
      </c>
      <c r="M18" s="15">
        <f>IF(AND(ISNUMBER(K18),ISNUMBER(L18)),ROUND(L18-K18,2),"")</f>
        <v/>
      </c>
      <c r="N18" s="15">
        <f>IF(ISNUMBER(M18),ABS(M18),"")</f>
        <v/>
      </c>
      <c r="O18" s="15">
        <f>IF(Marking!AC18="","",Marking!AC18)</f>
        <v/>
      </c>
      <c r="P18" s="15">
        <f>IF(System!H18="","",System!H18)</f>
        <v/>
      </c>
      <c r="Q18" s="15">
        <f>IF(AND(O18&lt;&gt;"",P18&lt;&gt;""),IF(O18=P18,"Yes","No"),"")</f>
        <v/>
      </c>
      <c r="R18" s="15">
        <f>IF(ISNUMBER(Marking!AD18),Marking!AD18,"")</f>
        <v/>
      </c>
      <c r="S18" s="15">
        <f>IF(AND(ISNUMBER(R18),ISNUMBER(L18)),ROUND(L18-R18,2),"")</f>
        <v/>
      </c>
      <c r="T18" s="15">
        <f>IF(ISNUMBER(D18),ABS(D18),"")</f>
        <v/>
      </c>
      <c r="U18" s="15">
        <f>IF(ISNUMBER(G18),ABS(G18),"")</f>
        <v/>
      </c>
      <c r="V18" s="15">
        <f>IF(ISNUMBER(J18),ABS(J18),"")</f>
        <v/>
      </c>
    </row>
    <row r="19">
      <c r="A19" s="15">
        <f>IF(Marking!A19="","",Marking!A19)</f>
        <v/>
      </c>
      <c r="B19" s="15">
        <f>IF(ISNUMBER(Marking!I19),Marking!I19,"")</f>
        <v/>
      </c>
      <c r="C19" s="15">
        <f>IF(ISNUMBER(System!B19),System!B19,"")</f>
        <v/>
      </c>
      <c r="D19" s="15">
        <f>IF(AND(ISNUMBER(B19),ISNUMBER(C19)),ROUND(C19-B19,2),"")</f>
        <v/>
      </c>
      <c r="E19" s="15">
        <f>IF(ISNUMBER(Marking!N19),Marking!N19,"")</f>
        <v/>
      </c>
      <c r="F19" s="15">
        <f>IF(ISNUMBER(System!C19),System!C19,"")</f>
        <v/>
      </c>
      <c r="G19" s="15">
        <f>IF(AND(ISNUMBER(E19),ISNUMBER(F19)),ROUND(F19-E19,2),"")</f>
        <v/>
      </c>
      <c r="H19" s="15">
        <f>IF(ISNUMBER(Marking!Y19),Marking!Y19,"")</f>
        <v/>
      </c>
      <c r="I19" s="15">
        <f>IF(ISNUMBER(System!D19),System!D19,"")</f>
        <v/>
      </c>
      <c r="J19" s="15">
        <f>IF(AND(ISNUMBER(H19),ISNUMBER(I19)),ROUND(I19-H19,2),"")</f>
        <v/>
      </c>
      <c r="K19" s="15">
        <f>IF(ISNUMBER(Marking!AB19),Marking!AB19,"")</f>
        <v/>
      </c>
      <c r="L19" s="15">
        <f>IF(ISNUMBER(System!G19),System!G19,"")</f>
        <v/>
      </c>
      <c r="M19" s="15">
        <f>IF(AND(ISNUMBER(K19),ISNUMBER(L19)),ROUND(L19-K19,2),"")</f>
        <v/>
      </c>
      <c r="N19" s="15">
        <f>IF(ISNUMBER(M19),ABS(M19),"")</f>
        <v/>
      </c>
      <c r="O19" s="15">
        <f>IF(Marking!AC19="","",Marking!AC19)</f>
        <v/>
      </c>
      <c r="P19" s="15">
        <f>IF(System!H19="","",System!H19)</f>
        <v/>
      </c>
      <c r="Q19" s="15">
        <f>IF(AND(O19&lt;&gt;"",P19&lt;&gt;""),IF(O19=P19,"Yes","No"),"")</f>
        <v/>
      </c>
      <c r="R19" s="15">
        <f>IF(ISNUMBER(Marking!AD19),Marking!AD19,"")</f>
        <v/>
      </c>
      <c r="S19" s="15">
        <f>IF(AND(ISNUMBER(R19),ISNUMBER(L19)),ROUND(L19-R19,2),"")</f>
        <v/>
      </c>
      <c r="T19" s="15">
        <f>IF(ISNUMBER(D19),ABS(D19),"")</f>
        <v/>
      </c>
      <c r="U19" s="15">
        <f>IF(ISNUMBER(G19),ABS(G19),"")</f>
        <v/>
      </c>
      <c r="V19" s="15">
        <f>IF(ISNUMBER(J19),ABS(J19),"")</f>
        <v/>
      </c>
    </row>
    <row r="20">
      <c r="A20" s="15">
        <f>IF(Marking!A20="","",Marking!A20)</f>
        <v/>
      </c>
      <c r="B20" s="15">
        <f>IF(ISNUMBER(Marking!I20),Marking!I20,"")</f>
        <v/>
      </c>
      <c r="C20" s="15">
        <f>IF(ISNUMBER(System!B20),System!B20,"")</f>
        <v/>
      </c>
      <c r="D20" s="15">
        <f>IF(AND(ISNUMBER(B20),ISNUMBER(C20)),ROUND(C20-B20,2),"")</f>
        <v/>
      </c>
      <c r="E20" s="15">
        <f>IF(ISNUMBER(Marking!N20),Marking!N20,"")</f>
        <v/>
      </c>
      <c r="F20" s="15">
        <f>IF(ISNUMBER(System!C20),System!C20,"")</f>
        <v/>
      </c>
      <c r="G20" s="15">
        <f>IF(AND(ISNUMBER(E20),ISNUMBER(F20)),ROUND(F20-E20,2),"")</f>
        <v/>
      </c>
      <c r="H20" s="15">
        <f>IF(ISNUMBER(Marking!Y20),Marking!Y20,"")</f>
        <v/>
      </c>
      <c r="I20" s="15">
        <f>IF(ISNUMBER(System!D20),System!D20,"")</f>
        <v/>
      </c>
      <c r="J20" s="15">
        <f>IF(AND(ISNUMBER(H20),ISNUMBER(I20)),ROUND(I20-H20,2),"")</f>
        <v/>
      </c>
      <c r="K20" s="15">
        <f>IF(ISNUMBER(Marking!AB20),Marking!AB20,"")</f>
        <v/>
      </c>
      <c r="L20" s="15">
        <f>IF(ISNUMBER(System!G20),System!G20,"")</f>
        <v/>
      </c>
      <c r="M20" s="15">
        <f>IF(AND(ISNUMBER(K20),ISNUMBER(L20)),ROUND(L20-K20,2),"")</f>
        <v/>
      </c>
      <c r="N20" s="15">
        <f>IF(ISNUMBER(M20),ABS(M20),"")</f>
        <v/>
      </c>
      <c r="O20" s="15">
        <f>IF(Marking!AC20="","",Marking!AC20)</f>
        <v/>
      </c>
      <c r="P20" s="15">
        <f>IF(System!H20="","",System!H20)</f>
        <v/>
      </c>
      <c r="Q20" s="15">
        <f>IF(AND(O20&lt;&gt;"",P20&lt;&gt;""),IF(O20=P20,"Yes","No"),"")</f>
        <v/>
      </c>
      <c r="R20" s="15">
        <f>IF(ISNUMBER(Marking!AD20),Marking!AD20,"")</f>
        <v/>
      </c>
      <c r="S20" s="15">
        <f>IF(AND(ISNUMBER(R20),ISNUMBER(L20)),ROUND(L20-R20,2),"")</f>
        <v/>
      </c>
      <c r="T20" s="15">
        <f>IF(ISNUMBER(D20),ABS(D20),"")</f>
        <v/>
      </c>
      <c r="U20" s="15">
        <f>IF(ISNUMBER(G20),ABS(G20),"")</f>
        <v/>
      </c>
      <c r="V20" s="15">
        <f>IF(ISNUMBER(J20),ABS(J20),"")</f>
        <v/>
      </c>
    </row>
    <row r="21">
      <c r="A21" s="15">
        <f>IF(Marking!A21="","",Marking!A21)</f>
        <v/>
      </c>
      <c r="B21" s="15">
        <f>IF(ISNUMBER(Marking!I21),Marking!I21,"")</f>
        <v/>
      </c>
      <c r="C21" s="15">
        <f>IF(ISNUMBER(System!B21),System!B21,"")</f>
        <v/>
      </c>
      <c r="D21" s="15">
        <f>IF(AND(ISNUMBER(B21),ISNUMBER(C21)),ROUND(C21-B21,2),"")</f>
        <v/>
      </c>
      <c r="E21" s="15">
        <f>IF(ISNUMBER(Marking!N21),Marking!N21,"")</f>
        <v/>
      </c>
      <c r="F21" s="15">
        <f>IF(ISNUMBER(System!C21),System!C21,"")</f>
        <v/>
      </c>
      <c r="G21" s="15">
        <f>IF(AND(ISNUMBER(E21),ISNUMBER(F21)),ROUND(F21-E21,2),"")</f>
        <v/>
      </c>
      <c r="H21" s="15">
        <f>IF(ISNUMBER(Marking!Y21),Marking!Y21,"")</f>
        <v/>
      </c>
      <c r="I21" s="15">
        <f>IF(ISNUMBER(System!D21),System!D21,"")</f>
        <v/>
      </c>
      <c r="J21" s="15">
        <f>IF(AND(ISNUMBER(H21),ISNUMBER(I21)),ROUND(I21-H21,2),"")</f>
        <v/>
      </c>
      <c r="K21" s="15">
        <f>IF(ISNUMBER(Marking!AB21),Marking!AB21,"")</f>
        <v/>
      </c>
      <c r="L21" s="15">
        <f>IF(ISNUMBER(System!G21),System!G21,"")</f>
        <v/>
      </c>
      <c r="M21" s="15">
        <f>IF(AND(ISNUMBER(K21),ISNUMBER(L21)),ROUND(L21-K21,2),"")</f>
        <v/>
      </c>
      <c r="N21" s="15">
        <f>IF(ISNUMBER(M21),ABS(M21),"")</f>
        <v/>
      </c>
      <c r="O21" s="15">
        <f>IF(Marking!AC21="","",Marking!AC21)</f>
        <v/>
      </c>
      <c r="P21" s="15">
        <f>IF(System!H21="","",System!H21)</f>
        <v/>
      </c>
      <c r="Q21" s="15">
        <f>IF(AND(O21&lt;&gt;"",P21&lt;&gt;""),IF(O21=P21,"Yes","No"),"")</f>
        <v/>
      </c>
      <c r="R21" s="15">
        <f>IF(ISNUMBER(Marking!AD21),Marking!AD21,"")</f>
        <v/>
      </c>
      <c r="S21" s="15">
        <f>IF(AND(ISNUMBER(R21),ISNUMBER(L21)),ROUND(L21-R21,2),"")</f>
        <v/>
      </c>
      <c r="T21" s="15">
        <f>IF(ISNUMBER(D21),ABS(D21),"")</f>
        <v/>
      </c>
      <c r="U21" s="15">
        <f>IF(ISNUMBER(G21),ABS(G21),"")</f>
        <v/>
      </c>
      <c r="V21" s="15">
        <f>IF(ISNUMBER(J21),ABS(J21),"")</f>
        <v/>
      </c>
    </row>
    <row r="22">
      <c r="A22" s="15">
        <f>IF(Marking!A22="","",Marking!A22)</f>
        <v/>
      </c>
      <c r="B22" s="15">
        <f>IF(ISNUMBER(Marking!I22),Marking!I22,"")</f>
        <v/>
      </c>
      <c r="C22" s="15">
        <f>IF(ISNUMBER(System!B22),System!B22,"")</f>
        <v/>
      </c>
      <c r="D22" s="15">
        <f>IF(AND(ISNUMBER(B22),ISNUMBER(C22)),ROUND(C22-B22,2),"")</f>
        <v/>
      </c>
      <c r="E22" s="15">
        <f>IF(ISNUMBER(Marking!N22),Marking!N22,"")</f>
        <v/>
      </c>
      <c r="F22" s="15">
        <f>IF(ISNUMBER(System!C22),System!C22,"")</f>
        <v/>
      </c>
      <c r="G22" s="15">
        <f>IF(AND(ISNUMBER(E22),ISNUMBER(F22)),ROUND(F22-E22,2),"")</f>
        <v/>
      </c>
      <c r="H22" s="15">
        <f>IF(ISNUMBER(Marking!Y22),Marking!Y22,"")</f>
        <v/>
      </c>
      <c r="I22" s="15">
        <f>IF(ISNUMBER(System!D22),System!D22,"")</f>
        <v/>
      </c>
      <c r="J22" s="15">
        <f>IF(AND(ISNUMBER(H22),ISNUMBER(I22)),ROUND(I22-H22,2),"")</f>
        <v/>
      </c>
      <c r="K22" s="15">
        <f>IF(ISNUMBER(Marking!AB22),Marking!AB22,"")</f>
        <v/>
      </c>
      <c r="L22" s="15">
        <f>IF(ISNUMBER(System!G22),System!G22,"")</f>
        <v/>
      </c>
      <c r="M22" s="15">
        <f>IF(AND(ISNUMBER(K22),ISNUMBER(L22)),ROUND(L22-K22,2),"")</f>
        <v/>
      </c>
      <c r="N22" s="15">
        <f>IF(ISNUMBER(M22),ABS(M22),"")</f>
        <v/>
      </c>
      <c r="O22" s="15">
        <f>IF(Marking!AC22="","",Marking!AC22)</f>
        <v/>
      </c>
      <c r="P22" s="15">
        <f>IF(System!H22="","",System!H22)</f>
        <v/>
      </c>
      <c r="Q22" s="15">
        <f>IF(AND(O22&lt;&gt;"",P22&lt;&gt;""),IF(O22=P22,"Yes","No"),"")</f>
        <v/>
      </c>
      <c r="R22" s="15">
        <f>IF(ISNUMBER(Marking!AD22),Marking!AD22,"")</f>
        <v/>
      </c>
      <c r="S22" s="15">
        <f>IF(AND(ISNUMBER(R22),ISNUMBER(L22)),ROUND(L22-R22,2),"")</f>
        <v/>
      </c>
      <c r="T22" s="15">
        <f>IF(ISNUMBER(D22),ABS(D22),"")</f>
        <v/>
      </c>
      <c r="U22" s="15">
        <f>IF(ISNUMBER(G22),ABS(G22),"")</f>
        <v/>
      </c>
      <c r="V22" s="15">
        <f>IF(ISNUMBER(J22),ABS(J22),"")</f>
        <v/>
      </c>
    </row>
    <row r="23">
      <c r="A23" s="15">
        <f>IF(Marking!A23="","",Marking!A23)</f>
        <v/>
      </c>
      <c r="B23" s="15">
        <f>IF(ISNUMBER(Marking!I23),Marking!I23,"")</f>
        <v/>
      </c>
      <c r="C23" s="15">
        <f>IF(ISNUMBER(System!B23),System!B23,"")</f>
        <v/>
      </c>
      <c r="D23" s="15">
        <f>IF(AND(ISNUMBER(B23),ISNUMBER(C23)),ROUND(C23-B23,2),"")</f>
        <v/>
      </c>
      <c r="E23" s="15">
        <f>IF(ISNUMBER(Marking!N23),Marking!N23,"")</f>
        <v/>
      </c>
      <c r="F23" s="15">
        <f>IF(ISNUMBER(System!C23),System!C23,"")</f>
        <v/>
      </c>
      <c r="G23" s="15">
        <f>IF(AND(ISNUMBER(E23),ISNUMBER(F23)),ROUND(F23-E23,2),"")</f>
        <v/>
      </c>
      <c r="H23" s="15">
        <f>IF(ISNUMBER(Marking!Y23),Marking!Y23,"")</f>
        <v/>
      </c>
      <c r="I23" s="15">
        <f>IF(ISNUMBER(System!D23),System!D23,"")</f>
        <v/>
      </c>
      <c r="J23" s="15">
        <f>IF(AND(ISNUMBER(H23),ISNUMBER(I23)),ROUND(I23-H23,2),"")</f>
        <v/>
      </c>
      <c r="K23" s="15">
        <f>IF(ISNUMBER(Marking!AB23),Marking!AB23,"")</f>
        <v/>
      </c>
      <c r="L23" s="15">
        <f>IF(ISNUMBER(System!G23),System!G23,"")</f>
        <v/>
      </c>
      <c r="M23" s="15">
        <f>IF(AND(ISNUMBER(K23),ISNUMBER(L23)),ROUND(L23-K23,2),"")</f>
        <v/>
      </c>
      <c r="N23" s="15">
        <f>IF(ISNUMBER(M23),ABS(M23),"")</f>
        <v/>
      </c>
      <c r="O23" s="15">
        <f>IF(Marking!AC23="","",Marking!AC23)</f>
        <v/>
      </c>
      <c r="P23" s="15">
        <f>IF(System!H23="","",System!H23)</f>
        <v/>
      </c>
      <c r="Q23" s="15">
        <f>IF(AND(O23&lt;&gt;"",P23&lt;&gt;""),IF(O23=P23,"Yes","No"),"")</f>
        <v/>
      </c>
      <c r="R23" s="15">
        <f>IF(ISNUMBER(Marking!AD23),Marking!AD23,"")</f>
        <v/>
      </c>
      <c r="S23" s="15">
        <f>IF(AND(ISNUMBER(R23),ISNUMBER(L23)),ROUND(L23-R23,2),"")</f>
        <v/>
      </c>
      <c r="T23" s="15">
        <f>IF(ISNUMBER(D23),ABS(D23),"")</f>
        <v/>
      </c>
      <c r="U23" s="15">
        <f>IF(ISNUMBER(G23),ABS(G23),"")</f>
        <v/>
      </c>
      <c r="V23" s="15">
        <f>IF(ISNUMBER(J23),ABS(J23),"")</f>
        <v/>
      </c>
    </row>
    <row r="24">
      <c r="A24" s="15">
        <f>IF(Marking!A24="","",Marking!A24)</f>
        <v/>
      </c>
      <c r="B24" s="15">
        <f>IF(ISNUMBER(Marking!I24),Marking!I24,"")</f>
        <v/>
      </c>
      <c r="C24" s="15">
        <f>IF(ISNUMBER(System!B24),System!B24,"")</f>
        <v/>
      </c>
      <c r="D24" s="15">
        <f>IF(AND(ISNUMBER(B24),ISNUMBER(C24)),ROUND(C24-B24,2),"")</f>
        <v/>
      </c>
      <c r="E24" s="15">
        <f>IF(ISNUMBER(Marking!N24),Marking!N24,"")</f>
        <v/>
      </c>
      <c r="F24" s="15">
        <f>IF(ISNUMBER(System!C24),System!C24,"")</f>
        <v/>
      </c>
      <c r="G24" s="15">
        <f>IF(AND(ISNUMBER(E24),ISNUMBER(F24)),ROUND(F24-E24,2),"")</f>
        <v/>
      </c>
      <c r="H24" s="15">
        <f>IF(ISNUMBER(Marking!Y24),Marking!Y24,"")</f>
        <v/>
      </c>
      <c r="I24" s="15">
        <f>IF(ISNUMBER(System!D24),System!D24,"")</f>
        <v/>
      </c>
      <c r="J24" s="15">
        <f>IF(AND(ISNUMBER(H24),ISNUMBER(I24)),ROUND(I24-H24,2),"")</f>
        <v/>
      </c>
      <c r="K24" s="15">
        <f>IF(ISNUMBER(Marking!AB24),Marking!AB24,"")</f>
        <v/>
      </c>
      <c r="L24" s="15">
        <f>IF(ISNUMBER(System!G24),System!G24,"")</f>
        <v/>
      </c>
      <c r="M24" s="15">
        <f>IF(AND(ISNUMBER(K24),ISNUMBER(L24)),ROUND(L24-K24,2),"")</f>
        <v/>
      </c>
      <c r="N24" s="15">
        <f>IF(ISNUMBER(M24),ABS(M24),"")</f>
        <v/>
      </c>
      <c r="O24" s="15">
        <f>IF(Marking!AC24="","",Marking!AC24)</f>
        <v/>
      </c>
      <c r="P24" s="15">
        <f>IF(System!H24="","",System!H24)</f>
        <v/>
      </c>
      <c r="Q24" s="15">
        <f>IF(AND(O24&lt;&gt;"",P24&lt;&gt;""),IF(O24=P24,"Yes","No"),"")</f>
        <v/>
      </c>
      <c r="R24" s="15">
        <f>IF(ISNUMBER(Marking!AD24),Marking!AD24,"")</f>
        <v/>
      </c>
      <c r="S24" s="15">
        <f>IF(AND(ISNUMBER(R24),ISNUMBER(L24)),ROUND(L24-R24,2),"")</f>
        <v/>
      </c>
      <c r="T24" s="15">
        <f>IF(ISNUMBER(D24),ABS(D24),"")</f>
        <v/>
      </c>
      <c r="U24" s="15">
        <f>IF(ISNUMBER(G24),ABS(G24),"")</f>
        <v/>
      </c>
      <c r="V24" s="15">
        <f>IF(ISNUMBER(J24),ABS(J24),"")</f>
        <v/>
      </c>
    </row>
    <row r="27">
      <c r="A27" s="17" t="inlineStr">
        <is>
          <t>Summary</t>
        </is>
      </c>
    </row>
    <row r="28">
      <c r="A28" s="6" t="inlineStr">
        <is>
          <t>Videos compared (final mark)</t>
        </is>
      </c>
      <c r="D28" s="18">
        <f>COUNT(M5:M24)</f>
        <v/>
      </c>
    </row>
    <row r="29">
      <c r="A29" s="6" t="inlineStr">
        <is>
          <t>Mean absolute error - Engagement</t>
        </is>
      </c>
      <c r="D29" s="19">
        <f>IFERROR(AVERAGE(T5:T24),"")</f>
        <v/>
      </c>
    </row>
    <row r="30">
      <c r="A30" s="6" t="inlineStr">
        <is>
          <t>Mean absolute error - Voice / Audio</t>
        </is>
      </c>
      <c r="D30" s="19">
        <f>IFERROR(AVERAGE(U5:U24),"")</f>
        <v/>
      </c>
    </row>
    <row r="31">
      <c r="A31" s="6" t="inlineStr">
        <is>
          <t>Mean absolute error - Speech / Transcript</t>
        </is>
      </c>
      <c r="D31" s="19">
        <f>IFERROR(AVERAGE(V5:V24),"")</f>
        <v/>
      </c>
    </row>
    <row r="32">
      <c r="A32" s="6" t="inlineStr">
        <is>
          <t>Mean absolute error - Final mark</t>
        </is>
      </c>
      <c r="D32" s="19">
        <f>IFERROR(AVERAGE(N5:N24),"")</f>
        <v/>
      </c>
    </row>
    <row r="33">
      <c r="A33" s="6" t="inlineStr">
        <is>
          <t>Mean bias - Final (System minus Examiner)</t>
        </is>
      </c>
      <c r="D33" s="19">
        <f>IFERROR(AVERAGE(M5:M24),"")</f>
        <v/>
      </c>
    </row>
    <row r="34">
      <c r="A34" s="6" t="inlineStr">
        <is>
          <t>Correlation of final marks (Pearson r)</t>
        </is>
      </c>
      <c r="D34" s="20">
        <f>IFERROR(CORREL(K5:K24,L5:L24),"")</f>
        <v/>
      </c>
    </row>
    <row r="35">
      <c r="A35" s="6" t="inlineStr">
        <is>
          <t>Final within +/-5 marks</t>
        </is>
      </c>
      <c r="D35" s="18">
        <f>COUNTIFS(N5:N24,"&lt;=5")</f>
        <v/>
      </c>
    </row>
    <row r="36">
      <c r="A36" s="6" t="inlineStr">
        <is>
          <t>Final within +/-10 marks</t>
        </is>
      </c>
      <c r="D36" s="18">
        <f>COUNTIFS(N5:N24,"&lt;=10")</f>
        <v/>
      </c>
    </row>
    <row r="37">
      <c r="A37" s="6" t="inlineStr">
        <is>
          <t>Grade agreement (%)</t>
        </is>
      </c>
      <c r="D37" s="21">
        <f>IFERROR(COUNTIF(Q5:Q24,"Yes")/(COUNTIF(Q5:Q24,"Yes")+COUNTIF(Q5:Q24,"No"))*100,"")</f>
        <v/>
      </c>
    </row>
  </sheetData>
  <mergeCells count="10">
    <mergeCell ref="A28:C28"/>
    <mergeCell ref="A33:C33"/>
    <mergeCell ref="A36:C36"/>
    <mergeCell ref="A37:C37"/>
    <mergeCell ref="A32:C32"/>
    <mergeCell ref="A31:C31"/>
    <mergeCell ref="A30:C30"/>
    <mergeCell ref="A35:C35"/>
    <mergeCell ref="A34:C34"/>
    <mergeCell ref="A29:C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18" customWidth="1" min="1" max="1"/>
  </cols>
  <sheetData>
    <row r="1">
      <c r="A1" s="5" t="inlineStr">
        <is>
          <t>Conversion reference (used by the Marking sheet formulas)</t>
        </is>
      </c>
    </row>
    <row r="3">
      <c r="A3" t="inlineStr">
        <is>
          <t>Score out of 10 = 10 x (1 - n / limit), never below 0.   Limits: hedges 8, fillers 12, long pauses 6.</t>
        </is>
      </c>
    </row>
    <row r="5">
      <c r="A5" s="22" t="inlineStr">
        <is>
          <t>Count n</t>
        </is>
      </c>
      <c r="B5" s="22" t="n">
        <v>0</v>
      </c>
      <c r="C5" s="22" t="n">
        <v>1</v>
      </c>
      <c r="D5" s="22" t="n">
        <v>2</v>
      </c>
      <c r="E5" s="22" t="n">
        <v>3</v>
      </c>
      <c r="F5" s="22" t="n">
        <v>4</v>
      </c>
      <c r="G5" s="22" t="n">
        <v>5</v>
      </c>
      <c r="H5" s="22" t="n">
        <v>6</v>
      </c>
      <c r="I5" s="22" t="n">
        <v>7</v>
      </c>
      <c r="J5" s="22" t="n">
        <v>8</v>
      </c>
      <c r="K5" s="22" t="n">
        <v>9</v>
      </c>
      <c r="L5" s="22" t="n">
        <v>10</v>
      </c>
      <c r="M5" s="22" t="n">
        <v>11</v>
      </c>
      <c r="N5" s="22" t="n">
        <v>12</v>
      </c>
    </row>
    <row r="6">
      <c r="A6" s="23" t="inlineStr">
        <is>
          <t>Hedge phrases</t>
        </is>
      </c>
      <c r="B6" s="24" t="n">
        <v>10</v>
      </c>
      <c r="C6" s="24" t="n">
        <v>8.75</v>
      </c>
      <c r="D6" s="24" t="n">
        <v>7.5</v>
      </c>
      <c r="E6" s="24" t="n">
        <v>6.25</v>
      </c>
      <c r="F6" s="24" t="n">
        <v>5</v>
      </c>
      <c r="G6" s="24" t="n">
        <v>3.75</v>
      </c>
      <c r="H6" s="24" t="n">
        <v>2.5</v>
      </c>
      <c r="I6" s="24" t="n">
        <v>1.25</v>
      </c>
      <c r="J6" s="24" t="n">
        <v>0</v>
      </c>
      <c r="K6" s="24" t="n">
        <v>0</v>
      </c>
      <c r="L6" s="24" t="n">
        <v>0</v>
      </c>
      <c r="M6" s="24" t="n">
        <v>0</v>
      </c>
      <c r="N6" s="24" t="n">
        <v>0</v>
      </c>
    </row>
    <row r="7">
      <c r="A7" s="23" t="inlineStr">
        <is>
          <t>Filler words</t>
        </is>
      </c>
      <c r="B7" s="24" t="n">
        <v>10</v>
      </c>
      <c r="C7" s="24" t="n">
        <v>9.17</v>
      </c>
      <c r="D7" s="24" t="n">
        <v>8.33</v>
      </c>
      <c r="E7" s="24" t="n">
        <v>7.5</v>
      </c>
      <c r="F7" s="24" t="n">
        <v>6.67</v>
      </c>
      <c r="G7" s="24" t="n">
        <v>5.83</v>
      </c>
      <c r="H7" s="24" t="n">
        <v>5</v>
      </c>
      <c r="I7" s="24" t="n">
        <v>4.17</v>
      </c>
      <c r="J7" s="24" t="n">
        <v>3.33</v>
      </c>
      <c r="K7" s="24" t="n">
        <v>2.5</v>
      </c>
      <c r="L7" s="24" t="n">
        <v>1.67</v>
      </c>
      <c r="M7" s="24" t="n">
        <v>0.83</v>
      </c>
      <c r="N7" s="24" t="n">
        <v>0</v>
      </c>
    </row>
    <row r="8">
      <c r="A8" s="23" t="inlineStr">
        <is>
          <t>Long pauses</t>
        </is>
      </c>
      <c r="B8" s="24" t="n">
        <v>10</v>
      </c>
      <c r="C8" s="24" t="n">
        <v>8.33</v>
      </c>
      <c r="D8" s="24" t="n">
        <v>6.67</v>
      </c>
      <c r="E8" s="24" t="n">
        <v>5</v>
      </c>
      <c r="F8" s="24" t="n">
        <v>3.33</v>
      </c>
      <c r="G8" s="24" t="n">
        <v>1.67</v>
      </c>
      <c r="H8" s="24" t="n">
        <v>0</v>
      </c>
      <c r="I8" s="24" t="n">
        <v>0</v>
      </c>
      <c r="J8" s="24" t="n">
        <v>0</v>
      </c>
      <c r="K8" s="24" t="n">
        <v>0</v>
      </c>
      <c r="L8" s="24" t="n">
        <v>0</v>
      </c>
      <c r="M8" s="24" t="n">
        <v>0</v>
      </c>
      <c r="N8" s="24" t="n">
        <v>0</v>
      </c>
    </row>
    <row r="10">
      <c r="A10" t="inlineStr">
        <is>
          <t>Pace: 120-160 words per minute = In band (10). Too slow or too fast = 6.5.</t>
        </is>
      </c>
    </row>
    <row r="11">
      <c r="A11" t="inlineStr">
        <is>
          <t>Sentence completion: score = percent of sentences completed / 10.</t>
        </is>
      </c>
    </row>
    <row r="13">
      <c r="A13" s="6" t="inlineStr">
        <is>
          <t>Grade bands</t>
        </is>
      </c>
    </row>
    <row r="14">
      <c r="A14" t="inlineStr">
        <is>
          <t>A+</t>
        </is>
      </c>
      <c r="B14" t="inlineStr">
        <is>
          <t>90-100</t>
        </is>
      </c>
    </row>
    <row r="15">
      <c r="A15" t="inlineStr">
        <is>
          <t>A</t>
        </is>
      </c>
      <c r="B15" t="inlineStr">
        <is>
          <t>80-89</t>
        </is>
      </c>
    </row>
    <row r="16">
      <c r="A16" t="inlineStr">
        <is>
          <t>B+</t>
        </is>
      </c>
      <c r="B16" t="inlineStr">
        <is>
          <t>70-79</t>
        </is>
      </c>
    </row>
    <row r="17">
      <c r="A17" t="inlineStr">
        <is>
          <t>B</t>
        </is>
      </c>
      <c r="B17" t="inlineStr">
        <is>
          <t>60-69</t>
        </is>
      </c>
    </row>
    <row r="18">
      <c r="A18" t="inlineStr">
        <is>
          <t>C+</t>
        </is>
      </c>
      <c r="B18" t="inlineStr">
        <is>
          <t>50-59</t>
        </is>
      </c>
    </row>
    <row r="19">
      <c r="A19" t="inlineStr">
        <is>
          <t>C</t>
        </is>
      </c>
      <c r="B19" t="inlineStr">
        <is>
          <t>40-49</t>
        </is>
      </c>
    </row>
    <row r="20">
      <c r="A20" t="inlineStr">
        <is>
          <t>F</t>
        </is>
      </c>
      <c r="B20" t="inlineStr">
        <is>
          <t>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2026-10-16T10:52:02Z</dcterms:created>
  <dcterms:modified xmlns:dcterms="http://purl.org/dc/terms/" xmlns:xsi="http://www.w3.org/2001/XMLSchema-instance" xsi:type="dcterms:W3CDTF">2026-10-16T10:52:02Z</dcterms:modified>
</cp:coreProperties>
</file>