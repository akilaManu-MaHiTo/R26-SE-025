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Marking" sheetId="2" state="visible" r:id="rId2"/>
    <sheet xmlns:r="http://schemas.openxmlformats.org/officeDocument/2006/relationships" name="Reference"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A5F"/>
      <sz val="18"/>
    </font>
    <font>
      <color rgb="00595959"/>
    </font>
    <font>
      <b val="1"/>
      <color rgb="001F3A5F"/>
      <sz val="12"/>
    </font>
    <font>
      <b val="1"/>
      <color rgb="001F3A5F"/>
      <sz val="14"/>
    </font>
    <font>
      <b val="1"/>
    </font>
    <font>
      <b val="1"/>
      <color rgb="00FFFFFF"/>
    </font>
  </fonts>
  <fills count="7">
    <fill>
      <patternFill/>
    </fill>
    <fill>
      <patternFill patternType="gray125"/>
    </fill>
    <fill>
      <patternFill patternType="solid">
        <fgColor rgb="00FFF9DB"/>
      </patternFill>
    </fill>
    <fill>
      <patternFill patternType="solid">
        <fgColor rgb="00D9E2F3"/>
      </patternFill>
    </fill>
    <fill>
      <patternFill patternType="solid">
        <fgColor rgb="001F3A5F"/>
      </patternFill>
    </fill>
    <fill>
      <patternFill patternType="solid">
        <fgColor rgb="00EDEDED"/>
      </patternFill>
    </fill>
    <fill>
      <patternFill patternType="solid">
        <fgColor rgb="00E2EFD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2" borderId="0" pivotButton="0" quotePrefix="0" xfId="0"/>
    <xf numFmtId="0" fontId="5" fillId="3" borderId="1" applyAlignment="1" pivotButton="0" quotePrefix="0" xfId="0">
      <alignment horizontal="center"/>
    </xf>
    <xf numFmtId="0" fontId="6" fillId="4" borderId="1" applyAlignment="1" pivotButton="0" quotePrefix="0" xfId="0">
      <alignment horizontal="center" vertical="center" wrapText="1"/>
    </xf>
    <xf numFmtId="0" fontId="0" fillId="2" borderId="1" applyAlignment="1" pivotButton="0" quotePrefix="0" xfId="0">
      <alignment horizontal="center" vertical="center"/>
    </xf>
    <xf numFmtId="0" fontId="0" fillId="5" borderId="1" applyAlignment="1" pivotButton="0" quotePrefix="0" xfId="0">
      <alignment horizontal="center" vertical="center"/>
    </xf>
    <xf numFmtId="0" fontId="5" fillId="6" borderId="1" applyAlignment="1" pivotButton="0" quotePrefix="0" xfId="0">
      <alignment horizontal="center" vertical="center"/>
    </xf>
    <xf numFmtId="0" fontId="0" fillId="2" borderId="1" applyAlignment="1" pivotButton="0" quotePrefix="0" xfId="0">
      <alignment horizontal="center" vertical="center" wrapText="1"/>
    </xf>
    <xf numFmtId="0" fontId="6" fillId="4" borderId="1" applyAlignment="1" pivotButton="0" quotePrefix="0" xfId="0">
      <alignment horizontal="center"/>
    </xf>
    <xf numFmtId="0" fontId="5" fillId="0" borderId="1" applyAlignment="1" pivotButton="0" quotePrefix="0" xfId="0">
      <alignment horizontal="center"/>
    </xf>
    <xf numFmtId="0" fontId="0"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20" customWidth="1" min="1" max="1"/>
  </cols>
  <sheetData>
    <row r="1">
      <c r="A1" s="1" t="inlineStr">
        <is>
          <t>Viva Grading Workbook</t>
        </is>
      </c>
    </row>
    <row r="2">
      <c r="A2" s="2" t="inlineStr">
        <is>
          <t>R26-SE-025  |  SLIIT  |  Automated Viva Assessment System validation</t>
        </is>
      </c>
    </row>
    <row r="3">
      <c r="A3" s="3" t="inlineStr"/>
    </row>
    <row r="4">
      <c r="A4" s="4" t="inlineStr">
        <is>
          <t>How to use</t>
        </is>
      </c>
    </row>
    <row r="5">
      <c r="A5" s="3" t="inlineStr">
        <is>
          <t>1. Go to the "Marking" sheet. Fill ONE ROW PER RECORDED VIVA. Only the yellow cells are for you; grey cells calculate automatically.</t>
        </is>
      </c>
    </row>
    <row r="6">
      <c r="A6" s="3" t="inlineStr">
        <is>
          <t>2. Mark each recording independently, from what you see and hear, using the Viva Marking Sheet anchors (0-10 per item).</t>
        </is>
      </c>
    </row>
    <row r="7">
      <c r="A7" s="3" t="inlineStr">
        <is>
          <t>3. For Component C, enter the pace band and the tallies you counted (hedge phrases, filler words, silences over 2 seconds) and the approximate % of sentences completed. The sheet converts them with the same formulas as the system.</t>
        </is>
      </c>
    </row>
    <row r="8">
      <c r="A8" s="3" t="inlineStr">
        <is>
          <t>4. If you cannot judge an item, leave it blank. Blank items are left out of the average, exactly as the system leaves out unavailable signals.</t>
        </is>
      </c>
    </row>
    <row r="9">
      <c r="A9" s="3" t="inlineStr">
        <is>
          <t>5. Enter the Technical accuracy mark (/10) only if you choose the mode "With technical accuracy".</t>
        </is>
      </c>
    </row>
    <row r="10">
      <c r="A10" s="3" t="inlineStr">
        <is>
          <t>6. Give your Holistic mark (/100) from your overall impression, without using the formulas, and say whether you would publish the system mark.</t>
        </is>
      </c>
    </row>
    <row r="11">
      <c r="A11" s="3" t="inlineStr"/>
    </row>
    <row r="12">
      <c r="A12" s="4" t="inlineStr">
        <is>
          <t>How the final mark is calculated (same as the system)</t>
        </is>
      </c>
    </row>
    <row r="13">
      <c r="A13" s="3" t="inlineStr">
        <is>
          <t>Component A (Engagement) = average of A1-A5 x 10</t>
        </is>
      </c>
    </row>
    <row r="14">
      <c r="A14" s="3" t="inlineStr">
        <is>
          <t>Component B (Voice quality) = (B1 + B2 + B3 + 0.5 x B4) / 3.5 x 10   (emotional tone counts half)</t>
        </is>
      </c>
    </row>
    <row r="15">
      <c r="A15" s="3" t="inlineStr">
        <is>
          <t>Component C (Speech delivery) = average of pace, hedge, filler, long-pause and completion scores x 10</t>
        </is>
      </c>
    </row>
    <row r="16">
      <c r="A16" s="3" t="inlineStr">
        <is>
          <t>AI-equivalent mark = average of the components that have marks</t>
        </is>
      </c>
    </row>
    <row r="17">
      <c r="A17" s="3" t="inlineStr">
        <is>
          <t>Without technical accuracy: Final = AI-equivalent.   With technical accuracy: Final = 0.5 x AI-equivalent + 0.5 x (Technical / 10 x 100)</t>
        </is>
      </c>
    </row>
    <row r="18">
      <c r="A18" s="3" t="inlineStr">
        <is>
          <t>Grades: A+ 90-100, A 80-89, B+ 70-79, B 60-69, C+ 50-59, C 40-49, F below 40</t>
        </is>
      </c>
    </row>
    <row r="19">
      <c r="A19" s="3" t="inlineStr"/>
    </row>
    <row r="20">
      <c r="A20" s="4" t="inlineStr">
        <is>
          <t>Quality gate</t>
        </is>
      </c>
    </row>
    <row r="21">
      <c r="A21" s="3" t="inlineStr">
        <is>
          <t>If a recording has no usable face, the student does not speak, or more than one person is in frame, the system gives no mark. Write the reason in Comments and leave the marks blank.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2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22" customWidth="1" min="31" max="31"/>
    <col width="40" customWidth="1" min="32" max="32"/>
  </cols>
  <sheetData>
    <row r="1">
      <c r="A1" s="5" t="inlineStr">
        <is>
          <t>Viva Marking - examiner marks (one row per recorded viva)</t>
        </is>
      </c>
    </row>
    <row r="2">
      <c r="A2" s="6" t="inlineStr">
        <is>
          <t>Examiner:</t>
        </is>
      </c>
      <c r="B2" s="7" t="n"/>
      <c r="C2" s="6" t="inlineStr">
        <is>
          <t>Date:</t>
        </is>
      </c>
      <c r="D2" s="7" t="n"/>
    </row>
    <row r="3">
      <c r="A3" s="8" t="inlineStr">
        <is>
          <t>Recording</t>
        </is>
      </c>
      <c r="B3" s="8" t="n"/>
      <c r="C3" s="8" t="n"/>
      <c r="D3" s="8" t="inlineStr">
        <is>
          <t>A. Engagement  (items 0-10)</t>
        </is>
      </c>
      <c r="E3" s="8" t="n"/>
      <c r="F3" s="8" t="n"/>
      <c r="G3" s="8" t="n"/>
      <c r="H3" s="8" t="n"/>
      <c r="I3" s="8" t="n"/>
      <c r="J3" s="8" t="inlineStr">
        <is>
          <t>B. Voice quality  (items 0-10)</t>
        </is>
      </c>
      <c r="K3" s="8" t="n"/>
      <c r="L3" s="8" t="n"/>
      <c r="M3" s="8" t="n"/>
      <c r="N3" s="8" t="n"/>
      <c r="O3" s="8" t="inlineStr">
        <is>
          <t>C. Speech delivery  (tallies and converted scores)</t>
        </is>
      </c>
      <c r="P3" s="8" t="n"/>
      <c r="Q3" s="8" t="n"/>
      <c r="R3" s="8" t="n"/>
      <c r="S3" s="8" t="n"/>
      <c r="T3" s="8" t="n"/>
      <c r="U3" s="8" t="n"/>
      <c r="V3" s="8" t="n"/>
      <c r="W3" s="8" t="n"/>
      <c r="X3" s="8" t="n"/>
      <c r="Y3" s="8" t="n"/>
      <c r="Z3" s="8" t="inlineStr">
        <is>
          <t>Final</t>
        </is>
      </c>
      <c r="AA3" s="8" t="n"/>
      <c r="AB3" s="8" t="n"/>
      <c r="AC3" s="8" t="n"/>
      <c r="AD3" s="8" t="inlineStr">
        <is>
          <t>Examiner judgement</t>
        </is>
      </c>
      <c r="AE3" s="8" t="n"/>
      <c r="AF3" s="8" t="n"/>
    </row>
    <row r="4" ht="48" customHeight="1">
      <c r="A4" s="9" t="inlineStr">
        <is>
          <t>Video ID</t>
        </is>
      </c>
      <c r="B4" s="9" t="inlineStr">
        <is>
          <t>Subject code</t>
        </is>
      </c>
      <c r="C4" s="9" t="inlineStr">
        <is>
          <t>Mode</t>
        </is>
      </c>
      <c r="D4" s="9" t="inlineStr">
        <is>
          <t>A1 Attentiveness</t>
        </is>
      </c>
      <c r="E4" s="9" t="inlineStr">
        <is>
          <t>A2 Eye contact</t>
        </is>
      </c>
      <c r="F4" s="9" t="inlineStr">
        <is>
          <t>A3 Facial expression</t>
        </is>
      </c>
      <c r="G4" s="9" t="inlineStr">
        <is>
          <t>A4 Head steadiness</t>
        </is>
      </c>
      <c r="H4" s="9" t="inlineStr">
        <is>
          <t>A5 Natural blinking</t>
        </is>
      </c>
      <c r="I4" s="9" t="inlineStr">
        <is>
          <t>A. Engagement /100</t>
        </is>
      </c>
      <c r="J4" s="9" t="inlineStr">
        <is>
          <t>B1 Pitch stability</t>
        </is>
      </c>
      <c r="K4" s="9" t="inlineStr">
        <is>
          <t>B2 Voice clarity</t>
        </is>
      </c>
      <c r="L4" s="9" t="inlineStr">
        <is>
          <t>B3 Voice smoothness</t>
        </is>
      </c>
      <c r="M4" s="9" t="inlineStr">
        <is>
          <t>B4 Tone of voice (half weight)</t>
        </is>
      </c>
      <c r="N4" s="9" t="inlineStr">
        <is>
          <t>B. Voice /100</t>
        </is>
      </c>
      <c r="O4" s="9" t="inlineStr">
        <is>
          <t>Pace band</t>
        </is>
      </c>
      <c r="P4" s="9" t="inlineStr">
        <is>
          <t>Hedges (n)</t>
        </is>
      </c>
      <c r="Q4" s="9" t="inlineStr">
        <is>
          <t>Fillers (n)</t>
        </is>
      </c>
      <c r="R4" s="9" t="inlineStr">
        <is>
          <t>Long pauses &gt;2s (n)</t>
        </is>
      </c>
      <c r="S4" s="9" t="inlineStr">
        <is>
          <t>Sentences completed (%)</t>
        </is>
      </c>
      <c r="T4" s="9" t="inlineStr">
        <is>
          <t>Pace score</t>
        </is>
      </c>
      <c r="U4" s="9" t="inlineStr">
        <is>
          <t>Hedge score</t>
        </is>
      </c>
      <c r="V4" s="9" t="inlineStr">
        <is>
          <t>Filler score</t>
        </is>
      </c>
      <c r="W4" s="9" t="inlineStr">
        <is>
          <t>Pause score</t>
        </is>
      </c>
      <c r="X4" s="9" t="inlineStr">
        <is>
          <t>Completion score</t>
        </is>
      </c>
      <c r="Y4" s="9" t="inlineStr">
        <is>
          <t>C. Speech /100</t>
        </is>
      </c>
      <c r="Z4" s="9" t="inlineStr">
        <is>
          <t>AI-equivalent /100</t>
        </is>
      </c>
      <c r="AA4" s="9" t="inlineStr">
        <is>
          <t>Technical /10</t>
        </is>
      </c>
      <c r="AB4" s="9" t="inlineStr">
        <is>
          <t>FINAL /100</t>
        </is>
      </c>
      <c r="AC4" s="9" t="inlineStr">
        <is>
          <t>Grade</t>
        </is>
      </c>
      <c r="AD4" s="9" t="inlineStr">
        <is>
          <t>Holistic mark /100</t>
        </is>
      </c>
      <c r="AE4" s="9" t="inlineStr">
        <is>
          <t>Publish system mark?</t>
        </is>
      </c>
      <c r="AF4" s="9" t="inlineStr">
        <is>
          <t>Comments</t>
        </is>
      </c>
    </row>
    <row r="5">
      <c r="A5" s="10" t="n"/>
      <c r="B5" s="10" t="n"/>
      <c r="C5" s="10" t="n"/>
      <c r="D5" s="10" t="n"/>
      <c r="E5" s="10" t="n"/>
      <c r="F5" s="10" t="n"/>
      <c r="G5" s="10" t="n"/>
      <c r="H5" s="10" t="n"/>
      <c r="I5" s="11">
        <f>IF(COUNT(D5:H5)=0,"",ROUND(AVERAGE(D5:H5)*10,2))</f>
        <v/>
      </c>
      <c r="J5" s="10" t="n"/>
      <c r="K5" s="10" t="n"/>
      <c r="L5" s="10" t="n"/>
      <c r="M5" s="10" t="n"/>
      <c r="N5" s="11">
        <f>IF(COUNT(J5:L5)=0,"",ROUND((SUM(J5:L5)+0.5*N(M5))/(COUNT(J5:L5)+0.5*COUNT(M5))*10,2))</f>
        <v/>
      </c>
      <c r="O5" s="10" t="n"/>
      <c r="P5" s="10" t="n"/>
      <c r="Q5" s="10" t="n"/>
      <c r="R5" s="10" t="n"/>
      <c r="S5" s="10" t="n"/>
      <c r="T5" s="11">
        <f>IF(O5="In band",10,IF(OR(O5="Too slow",O5="Too fast"),6.5,""))</f>
        <v/>
      </c>
      <c r="U5" s="11">
        <f>IF(P5="","",ROUND(10*MAX(0,1-P5/8),2))</f>
        <v/>
      </c>
      <c r="V5" s="11">
        <f>IF(Q5="","",ROUND(10*MAX(0,1-Q5/12),2))</f>
        <v/>
      </c>
      <c r="W5" s="11">
        <f>IF(R5="","",ROUND(10*MAX(0,1-R5/6),2))</f>
        <v/>
      </c>
      <c r="X5" s="11">
        <f>IF(S5="","",ROUND(MIN(10,MAX(0,S5/10)),2))</f>
        <v/>
      </c>
      <c r="Y5" s="11">
        <f>IF(COUNT(T5:X5)=0,"",ROUND(AVERAGE(T5:X5)*10,2))</f>
        <v/>
      </c>
      <c r="Z5" s="11">
        <f>IF(COUNT(I5,N5,Y5)=0,"",ROUND(AVERAGE(I5,N5,Y5),2))</f>
        <v/>
      </c>
      <c r="AA5" s="10" t="n"/>
      <c r="AB5" s="12">
        <f>IF(Z5="","",IF(AND(C5="With technical accuracy",NOT(ISNUMBER(AA5))),"Enter technical",ROUND(IF(AND(C5="With technical accuracy",ISNUMBER(AA5)),0.5*Z5+0.5*AA5*10,Z5),2)))</f>
        <v/>
      </c>
      <c r="AC5" s="12">
        <f>IF(NOT(ISNUMBER(AB5)),"",IF(AB5&gt;=90,"A+",IF(AB5&gt;=80,"A",IF(AB5&gt;=70,"B+",IF(AB5&gt;=60,"B",IF(AB5&gt;=50,"C+",IF(AB5&gt;=40,"C","F")))))))</f>
        <v/>
      </c>
      <c r="AD5" s="10" t="n"/>
      <c r="AE5" s="10" t="n"/>
      <c r="AF5" s="13" t="n"/>
    </row>
    <row r="6">
      <c r="A6" s="10" t="n"/>
      <c r="B6" s="10" t="n"/>
      <c r="C6" s="10" t="n"/>
      <c r="D6" s="10" t="n"/>
      <c r="E6" s="10" t="n"/>
      <c r="F6" s="10" t="n"/>
      <c r="G6" s="10" t="n"/>
      <c r="H6" s="10" t="n"/>
      <c r="I6" s="11">
        <f>IF(COUNT(D6:H6)=0,"",ROUND(AVERAGE(D6:H6)*10,2))</f>
        <v/>
      </c>
      <c r="J6" s="10" t="n"/>
      <c r="K6" s="10" t="n"/>
      <c r="L6" s="10" t="n"/>
      <c r="M6" s="10" t="n"/>
      <c r="N6" s="11">
        <f>IF(COUNT(J6:L6)=0,"",ROUND((SUM(J6:L6)+0.5*N(M6))/(COUNT(J6:L6)+0.5*COUNT(M6))*10,2))</f>
        <v/>
      </c>
      <c r="O6" s="10" t="n"/>
      <c r="P6" s="10" t="n"/>
      <c r="Q6" s="10" t="n"/>
      <c r="R6" s="10" t="n"/>
      <c r="S6" s="10" t="n"/>
      <c r="T6" s="11">
        <f>IF(O6="In band",10,IF(OR(O6="Too slow",O6="Too fast"),6.5,""))</f>
        <v/>
      </c>
      <c r="U6" s="11">
        <f>IF(P6="","",ROUND(10*MAX(0,1-P6/8),2))</f>
        <v/>
      </c>
      <c r="V6" s="11">
        <f>IF(Q6="","",ROUND(10*MAX(0,1-Q6/12),2))</f>
        <v/>
      </c>
      <c r="W6" s="11">
        <f>IF(R6="","",ROUND(10*MAX(0,1-R6/6),2))</f>
        <v/>
      </c>
      <c r="X6" s="11">
        <f>IF(S6="","",ROUND(MIN(10,MAX(0,S6/10)),2))</f>
        <v/>
      </c>
      <c r="Y6" s="11">
        <f>IF(COUNT(T6:X6)=0,"",ROUND(AVERAGE(T6:X6)*10,2))</f>
        <v/>
      </c>
      <c r="Z6" s="11">
        <f>IF(COUNT(I6,N6,Y6)=0,"",ROUND(AVERAGE(I6,N6,Y6),2))</f>
        <v/>
      </c>
      <c r="AA6" s="10" t="n"/>
      <c r="AB6" s="12">
        <f>IF(Z6="","",IF(AND(C6="With technical accuracy",NOT(ISNUMBER(AA6))),"Enter technical",ROUND(IF(AND(C6="With technical accuracy",ISNUMBER(AA6)),0.5*Z6+0.5*AA6*10,Z6),2)))</f>
        <v/>
      </c>
      <c r="AC6" s="12">
        <f>IF(NOT(ISNUMBER(AB6)),"",IF(AB6&gt;=90,"A+",IF(AB6&gt;=80,"A",IF(AB6&gt;=70,"B+",IF(AB6&gt;=60,"B",IF(AB6&gt;=50,"C+",IF(AB6&gt;=40,"C","F")))))))</f>
        <v/>
      </c>
      <c r="AD6" s="10" t="n"/>
      <c r="AE6" s="10" t="n"/>
      <c r="AF6" s="13" t="n"/>
    </row>
    <row r="7">
      <c r="A7" s="10" t="n"/>
      <c r="B7" s="10" t="n"/>
      <c r="C7" s="10" t="n"/>
      <c r="D7" s="10" t="n"/>
      <c r="E7" s="10" t="n"/>
      <c r="F7" s="10" t="n"/>
      <c r="G7" s="10" t="n"/>
      <c r="H7" s="10" t="n"/>
      <c r="I7" s="11">
        <f>IF(COUNT(D7:H7)=0,"",ROUND(AVERAGE(D7:H7)*10,2))</f>
        <v/>
      </c>
      <c r="J7" s="10" t="n"/>
      <c r="K7" s="10" t="n"/>
      <c r="L7" s="10" t="n"/>
      <c r="M7" s="10" t="n"/>
      <c r="N7" s="11">
        <f>IF(COUNT(J7:L7)=0,"",ROUND((SUM(J7:L7)+0.5*N(M7))/(COUNT(J7:L7)+0.5*COUNT(M7))*10,2))</f>
        <v/>
      </c>
      <c r="O7" s="10" t="n"/>
      <c r="P7" s="10" t="n"/>
      <c r="Q7" s="10" t="n"/>
      <c r="R7" s="10" t="n"/>
      <c r="S7" s="10" t="n"/>
      <c r="T7" s="11">
        <f>IF(O7="In band",10,IF(OR(O7="Too slow",O7="Too fast"),6.5,""))</f>
        <v/>
      </c>
      <c r="U7" s="11">
        <f>IF(P7="","",ROUND(10*MAX(0,1-P7/8),2))</f>
        <v/>
      </c>
      <c r="V7" s="11">
        <f>IF(Q7="","",ROUND(10*MAX(0,1-Q7/12),2))</f>
        <v/>
      </c>
      <c r="W7" s="11">
        <f>IF(R7="","",ROUND(10*MAX(0,1-R7/6),2))</f>
        <v/>
      </c>
      <c r="X7" s="11">
        <f>IF(S7="","",ROUND(MIN(10,MAX(0,S7/10)),2))</f>
        <v/>
      </c>
      <c r="Y7" s="11">
        <f>IF(COUNT(T7:X7)=0,"",ROUND(AVERAGE(T7:X7)*10,2))</f>
        <v/>
      </c>
      <c r="Z7" s="11">
        <f>IF(COUNT(I7,N7,Y7)=0,"",ROUND(AVERAGE(I7,N7,Y7),2))</f>
        <v/>
      </c>
      <c r="AA7" s="10" t="n"/>
      <c r="AB7" s="12">
        <f>IF(Z7="","",IF(AND(C7="With technical accuracy",NOT(ISNUMBER(AA7))),"Enter technical",ROUND(IF(AND(C7="With technical accuracy",ISNUMBER(AA7)),0.5*Z7+0.5*AA7*10,Z7),2)))</f>
        <v/>
      </c>
      <c r="AC7" s="12">
        <f>IF(NOT(ISNUMBER(AB7)),"",IF(AB7&gt;=90,"A+",IF(AB7&gt;=80,"A",IF(AB7&gt;=70,"B+",IF(AB7&gt;=60,"B",IF(AB7&gt;=50,"C+",IF(AB7&gt;=40,"C","F")))))))</f>
        <v/>
      </c>
      <c r="AD7" s="10" t="n"/>
      <c r="AE7" s="10" t="n"/>
      <c r="AF7" s="13" t="n"/>
    </row>
    <row r="8">
      <c r="A8" s="10" t="n"/>
      <c r="B8" s="10" t="n"/>
      <c r="C8" s="10" t="n"/>
      <c r="D8" s="10" t="n"/>
      <c r="E8" s="10" t="n"/>
      <c r="F8" s="10" t="n"/>
      <c r="G8" s="10" t="n"/>
      <c r="H8" s="10" t="n"/>
      <c r="I8" s="11">
        <f>IF(COUNT(D8:H8)=0,"",ROUND(AVERAGE(D8:H8)*10,2))</f>
        <v/>
      </c>
      <c r="J8" s="10" t="n"/>
      <c r="K8" s="10" t="n"/>
      <c r="L8" s="10" t="n"/>
      <c r="M8" s="10" t="n"/>
      <c r="N8" s="11">
        <f>IF(COUNT(J8:L8)=0,"",ROUND((SUM(J8:L8)+0.5*N(M8))/(COUNT(J8:L8)+0.5*COUNT(M8))*10,2))</f>
        <v/>
      </c>
      <c r="O8" s="10" t="n"/>
      <c r="P8" s="10" t="n"/>
      <c r="Q8" s="10" t="n"/>
      <c r="R8" s="10" t="n"/>
      <c r="S8" s="10" t="n"/>
      <c r="T8" s="11">
        <f>IF(O8="In band",10,IF(OR(O8="Too slow",O8="Too fast"),6.5,""))</f>
        <v/>
      </c>
      <c r="U8" s="11">
        <f>IF(P8="","",ROUND(10*MAX(0,1-P8/8),2))</f>
        <v/>
      </c>
      <c r="V8" s="11">
        <f>IF(Q8="","",ROUND(10*MAX(0,1-Q8/12),2))</f>
        <v/>
      </c>
      <c r="W8" s="11">
        <f>IF(R8="","",ROUND(10*MAX(0,1-R8/6),2))</f>
        <v/>
      </c>
      <c r="X8" s="11">
        <f>IF(S8="","",ROUND(MIN(10,MAX(0,S8/10)),2))</f>
        <v/>
      </c>
      <c r="Y8" s="11">
        <f>IF(COUNT(T8:X8)=0,"",ROUND(AVERAGE(T8:X8)*10,2))</f>
        <v/>
      </c>
      <c r="Z8" s="11">
        <f>IF(COUNT(I8,N8,Y8)=0,"",ROUND(AVERAGE(I8,N8,Y8),2))</f>
        <v/>
      </c>
      <c r="AA8" s="10" t="n"/>
      <c r="AB8" s="12">
        <f>IF(Z8="","",IF(AND(C8="With technical accuracy",NOT(ISNUMBER(AA8))),"Enter technical",ROUND(IF(AND(C8="With technical accuracy",ISNUMBER(AA8)),0.5*Z8+0.5*AA8*10,Z8),2)))</f>
        <v/>
      </c>
      <c r="AC8" s="12">
        <f>IF(NOT(ISNUMBER(AB8)),"",IF(AB8&gt;=90,"A+",IF(AB8&gt;=80,"A",IF(AB8&gt;=70,"B+",IF(AB8&gt;=60,"B",IF(AB8&gt;=50,"C+",IF(AB8&gt;=40,"C","F")))))))</f>
        <v/>
      </c>
      <c r="AD8" s="10" t="n"/>
      <c r="AE8" s="10" t="n"/>
      <c r="AF8" s="13" t="n"/>
    </row>
    <row r="9">
      <c r="A9" s="10" t="n"/>
      <c r="B9" s="10" t="n"/>
      <c r="C9" s="10" t="n"/>
      <c r="D9" s="10" t="n"/>
      <c r="E9" s="10" t="n"/>
      <c r="F9" s="10" t="n"/>
      <c r="G9" s="10" t="n"/>
      <c r="H9" s="10" t="n"/>
      <c r="I9" s="11">
        <f>IF(COUNT(D9:H9)=0,"",ROUND(AVERAGE(D9:H9)*10,2))</f>
        <v/>
      </c>
      <c r="J9" s="10" t="n"/>
      <c r="K9" s="10" t="n"/>
      <c r="L9" s="10" t="n"/>
      <c r="M9" s="10" t="n"/>
      <c r="N9" s="11">
        <f>IF(COUNT(J9:L9)=0,"",ROUND((SUM(J9:L9)+0.5*N(M9))/(COUNT(J9:L9)+0.5*COUNT(M9))*10,2))</f>
        <v/>
      </c>
      <c r="O9" s="10" t="n"/>
      <c r="P9" s="10" t="n"/>
      <c r="Q9" s="10" t="n"/>
      <c r="R9" s="10" t="n"/>
      <c r="S9" s="10" t="n"/>
      <c r="T9" s="11">
        <f>IF(O9="In band",10,IF(OR(O9="Too slow",O9="Too fast"),6.5,""))</f>
        <v/>
      </c>
      <c r="U9" s="11">
        <f>IF(P9="","",ROUND(10*MAX(0,1-P9/8),2))</f>
        <v/>
      </c>
      <c r="V9" s="11">
        <f>IF(Q9="","",ROUND(10*MAX(0,1-Q9/12),2))</f>
        <v/>
      </c>
      <c r="W9" s="11">
        <f>IF(R9="","",ROUND(10*MAX(0,1-R9/6),2))</f>
        <v/>
      </c>
      <c r="X9" s="11">
        <f>IF(S9="","",ROUND(MIN(10,MAX(0,S9/10)),2))</f>
        <v/>
      </c>
      <c r="Y9" s="11">
        <f>IF(COUNT(T9:X9)=0,"",ROUND(AVERAGE(T9:X9)*10,2))</f>
        <v/>
      </c>
      <c r="Z9" s="11">
        <f>IF(COUNT(I9,N9,Y9)=0,"",ROUND(AVERAGE(I9,N9,Y9),2))</f>
        <v/>
      </c>
      <c r="AA9" s="10" t="n"/>
      <c r="AB9" s="12">
        <f>IF(Z9="","",IF(AND(C9="With technical accuracy",NOT(ISNUMBER(AA9))),"Enter technical",ROUND(IF(AND(C9="With technical accuracy",ISNUMBER(AA9)),0.5*Z9+0.5*AA9*10,Z9),2)))</f>
        <v/>
      </c>
      <c r="AC9" s="12">
        <f>IF(NOT(ISNUMBER(AB9)),"",IF(AB9&gt;=90,"A+",IF(AB9&gt;=80,"A",IF(AB9&gt;=70,"B+",IF(AB9&gt;=60,"B",IF(AB9&gt;=50,"C+",IF(AB9&gt;=40,"C","F")))))))</f>
        <v/>
      </c>
      <c r="AD9" s="10" t="n"/>
      <c r="AE9" s="10" t="n"/>
      <c r="AF9" s="13" t="n"/>
    </row>
    <row r="10">
      <c r="A10" s="10" t="n"/>
      <c r="B10" s="10" t="n"/>
      <c r="C10" s="10" t="n"/>
      <c r="D10" s="10" t="n"/>
      <c r="E10" s="10" t="n"/>
      <c r="F10" s="10" t="n"/>
      <c r="G10" s="10" t="n"/>
      <c r="H10" s="10" t="n"/>
      <c r="I10" s="11">
        <f>IF(COUNT(D10:H10)=0,"",ROUND(AVERAGE(D10:H10)*10,2))</f>
        <v/>
      </c>
      <c r="J10" s="10" t="n"/>
      <c r="K10" s="10" t="n"/>
      <c r="L10" s="10" t="n"/>
      <c r="M10" s="10" t="n"/>
      <c r="N10" s="11">
        <f>IF(COUNT(J10:L10)=0,"",ROUND((SUM(J10:L10)+0.5*N(M10))/(COUNT(J10:L10)+0.5*COUNT(M10))*10,2))</f>
        <v/>
      </c>
      <c r="O10" s="10" t="n"/>
      <c r="P10" s="10" t="n"/>
      <c r="Q10" s="10" t="n"/>
      <c r="R10" s="10" t="n"/>
      <c r="S10" s="10" t="n"/>
      <c r="T10" s="11">
        <f>IF(O10="In band",10,IF(OR(O10="Too slow",O10="Too fast"),6.5,""))</f>
        <v/>
      </c>
      <c r="U10" s="11">
        <f>IF(P10="","",ROUND(10*MAX(0,1-P10/8),2))</f>
        <v/>
      </c>
      <c r="V10" s="11">
        <f>IF(Q10="","",ROUND(10*MAX(0,1-Q10/12),2))</f>
        <v/>
      </c>
      <c r="W10" s="11">
        <f>IF(R10="","",ROUND(10*MAX(0,1-R10/6),2))</f>
        <v/>
      </c>
      <c r="X10" s="11">
        <f>IF(S10="","",ROUND(MIN(10,MAX(0,S10/10)),2))</f>
        <v/>
      </c>
      <c r="Y10" s="11">
        <f>IF(COUNT(T10:X10)=0,"",ROUND(AVERAGE(T10:X10)*10,2))</f>
        <v/>
      </c>
      <c r="Z10" s="11">
        <f>IF(COUNT(I10,N10,Y10)=0,"",ROUND(AVERAGE(I10,N10,Y10),2))</f>
        <v/>
      </c>
      <c r="AA10" s="10" t="n"/>
      <c r="AB10" s="12">
        <f>IF(Z10="","",IF(AND(C10="With technical accuracy",NOT(ISNUMBER(AA10))),"Enter technical",ROUND(IF(AND(C10="With technical accuracy",ISNUMBER(AA10)),0.5*Z10+0.5*AA10*10,Z10),2)))</f>
        <v/>
      </c>
      <c r="AC10" s="12">
        <f>IF(NOT(ISNUMBER(AB10)),"",IF(AB10&gt;=90,"A+",IF(AB10&gt;=80,"A",IF(AB10&gt;=70,"B+",IF(AB10&gt;=60,"B",IF(AB10&gt;=50,"C+",IF(AB10&gt;=40,"C","F")))))))</f>
        <v/>
      </c>
      <c r="AD10" s="10" t="n"/>
      <c r="AE10" s="10" t="n"/>
      <c r="AF10" s="13" t="n"/>
    </row>
    <row r="11">
      <c r="A11" s="10" t="n"/>
      <c r="B11" s="10" t="n"/>
      <c r="C11" s="10" t="n"/>
      <c r="D11" s="10" t="n"/>
      <c r="E11" s="10" t="n"/>
      <c r="F11" s="10" t="n"/>
      <c r="G11" s="10" t="n"/>
      <c r="H11" s="10" t="n"/>
      <c r="I11" s="11">
        <f>IF(COUNT(D11:H11)=0,"",ROUND(AVERAGE(D11:H11)*10,2))</f>
        <v/>
      </c>
      <c r="J11" s="10" t="n"/>
      <c r="K11" s="10" t="n"/>
      <c r="L11" s="10" t="n"/>
      <c r="M11" s="10" t="n"/>
      <c r="N11" s="11">
        <f>IF(COUNT(J11:L11)=0,"",ROUND((SUM(J11:L11)+0.5*N(M11))/(COUNT(J11:L11)+0.5*COUNT(M11))*10,2))</f>
        <v/>
      </c>
      <c r="O11" s="10" t="n"/>
      <c r="P11" s="10" t="n"/>
      <c r="Q11" s="10" t="n"/>
      <c r="R11" s="10" t="n"/>
      <c r="S11" s="10" t="n"/>
      <c r="T11" s="11">
        <f>IF(O11="In band",10,IF(OR(O11="Too slow",O11="Too fast"),6.5,""))</f>
        <v/>
      </c>
      <c r="U11" s="11">
        <f>IF(P11="","",ROUND(10*MAX(0,1-P11/8),2))</f>
        <v/>
      </c>
      <c r="V11" s="11">
        <f>IF(Q11="","",ROUND(10*MAX(0,1-Q11/12),2))</f>
        <v/>
      </c>
      <c r="W11" s="11">
        <f>IF(R11="","",ROUND(10*MAX(0,1-R11/6),2))</f>
        <v/>
      </c>
      <c r="X11" s="11">
        <f>IF(S11="","",ROUND(MIN(10,MAX(0,S11/10)),2))</f>
        <v/>
      </c>
      <c r="Y11" s="11">
        <f>IF(COUNT(T11:X11)=0,"",ROUND(AVERAGE(T11:X11)*10,2))</f>
        <v/>
      </c>
      <c r="Z11" s="11">
        <f>IF(COUNT(I11,N11,Y11)=0,"",ROUND(AVERAGE(I11,N11,Y11),2))</f>
        <v/>
      </c>
      <c r="AA11" s="10" t="n"/>
      <c r="AB11" s="12">
        <f>IF(Z11="","",IF(AND(C11="With technical accuracy",NOT(ISNUMBER(AA11))),"Enter technical",ROUND(IF(AND(C11="With technical accuracy",ISNUMBER(AA11)),0.5*Z11+0.5*AA11*10,Z11),2)))</f>
        <v/>
      </c>
      <c r="AC11" s="12">
        <f>IF(NOT(ISNUMBER(AB11)),"",IF(AB11&gt;=90,"A+",IF(AB11&gt;=80,"A",IF(AB11&gt;=70,"B+",IF(AB11&gt;=60,"B",IF(AB11&gt;=50,"C+",IF(AB11&gt;=40,"C","F")))))))</f>
        <v/>
      </c>
      <c r="AD11" s="10" t="n"/>
      <c r="AE11" s="10" t="n"/>
      <c r="AF11" s="13" t="n"/>
    </row>
    <row r="12">
      <c r="A12" s="10" t="n"/>
      <c r="B12" s="10" t="n"/>
      <c r="C12" s="10" t="n"/>
      <c r="D12" s="10" t="n"/>
      <c r="E12" s="10" t="n"/>
      <c r="F12" s="10" t="n"/>
      <c r="G12" s="10" t="n"/>
      <c r="H12" s="10" t="n"/>
      <c r="I12" s="11">
        <f>IF(COUNT(D12:H12)=0,"",ROUND(AVERAGE(D12:H12)*10,2))</f>
        <v/>
      </c>
      <c r="J12" s="10" t="n"/>
      <c r="K12" s="10" t="n"/>
      <c r="L12" s="10" t="n"/>
      <c r="M12" s="10" t="n"/>
      <c r="N12" s="11">
        <f>IF(COUNT(J12:L12)=0,"",ROUND((SUM(J12:L12)+0.5*N(M12))/(COUNT(J12:L12)+0.5*COUNT(M12))*10,2))</f>
        <v/>
      </c>
      <c r="O12" s="10" t="n"/>
      <c r="P12" s="10" t="n"/>
      <c r="Q12" s="10" t="n"/>
      <c r="R12" s="10" t="n"/>
      <c r="S12" s="10" t="n"/>
      <c r="T12" s="11">
        <f>IF(O12="In band",10,IF(OR(O12="Too slow",O12="Too fast"),6.5,""))</f>
        <v/>
      </c>
      <c r="U12" s="11">
        <f>IF(P12="","",ROUND(10*MAX(0,1-P12/8),2))</f>
        <v/>
      </c>
      <c r="V12" s="11">
        <f>IF(Q12="","",ROUND(10*MAX(0,1-Q12/12),2))</f>
        <v/>
      </c>
      <c r="W12" s="11">
        <f>IF(R12="","",ROUND(10*MAX(0,1-R12/6),2))</f>
        <v/>
      </c>
      <c r="X12" s="11">
        <f>IF(S12="","",ROUND(MIN(10,MAX(0,S12/10)),2))</f>
        <v/>
      </c>
      <c r="Y12" s="11">
        <f>IF(COUNT(T12:X12)=0,"",ROUND(AVERAGE(T12:X12)*10,2))</f>
        <v/>
      </c>
      <c r="Z12" s="11">
        <f>IF(COUNT(I12,N12,Y12)=0,"",ROUND(AVERAGE(I12,N12,Y12),2))</f>
        <v/>
      </c>
      <c r="AA12" s="10" t="n"/>
      <c r="AB12" s="12">
        <f>IF(Z12="","",IF(AND(C12="With technical accuracy",NOT(ISNUMBER(AA12))),"Enter technical",ROUND(IF(AND(C12="With technical accuracy",ISNUMBER(AA12)),0.5*Z12+0.5*AA12*10,Z12),2)))</f>
        <v/>
      </c>
      <c r="AC12" s="12">
        <f>IF(NOT(ISNUMBER(AB12)),"",IF(AB12&gt;=90,"A+",IF(AB12&gt;=80,"A",IF(AB12&gt;=70,"B+",IF(AB12&gt;=60,"B",IF(AB12&gt;=50,"C+",IF(AB12&gt;=40,"C","F")))))))</f>
        <v/>
      </c>
      <c r="AD12" s="10" t="n"/>
      <c r="AE12" s="10" t="n"/>
      <c r="AF12" s="13" t="n"/>
    </row>
    <row r="13">
      <c r="A13" s="10" t="n"/>
      <c r="B13" s="10" t="n"/>
      <c r="C13" s="10" t="n"/>
      <c r="D13" s="10" t="n"/>
      <c r="E13" s="10" t="n"/>
      <c r="F13" s="10" t="n"/>
      <c r="G13" s="10" t="n"/>
      <c r="H13" s="10" t="n"/>
      <c r="I13" s="11">
        <f>IF(COUNT(D13:H13)=0,"",ROUND(AVERAGE(D13:H13)*10,2))</f>
        <v/>
      </c>
      <c r="J13" s="10" t="n"/>
      <c r="K13" s="10" t="n"/>
      <c r="L13" s="10" t="n"/>
      <c r="M13" s="10" t="n"/>
      <c r="N13" s="11">
        <f>IF(COUNT(J13:L13)=0,"",ROUND((SUM(J13:L13)+0.5*N(M13))/(COUNT(J13:L13)+0.5*COUNT(M13))*10,2))</f>
        <v/>
      </c>
      <c r="O13" s="10" t="n"/>
      <c r="P13" s="10" t="n"/>
      <c r="Q13" s="10" t="n"/>
      <c r="R13" s="10" t="n"/>
      <c r="S13" s="10" t="n"/>
      <c r="T13" s="11">
        <f>IF(O13="In band",10,IF(OR(O13="Too slow",O13="Too fast"),6.5,""))</f>
        <v/>
      </c>
      <c r="U13" s="11">
        <f>IF(P13="","",ROUND(10*MAX(0,1-P13/8),2))</f>
        <v/>
      </c>
      <c r="V13" s="11">
        <f>IF(Q13="","",ROUND(10*MAX(0,1-Q13/12),2))</f>
        <v/>
      </c>
      <c r="W13" s="11">
        <f>IF(R13="","",ROUND(10*MAX(0,1-R13/6),2))</f>
        <v/>
      </c>
      <c r="X13" s="11">
        <f>IF(S13="","",ROUND(MIN(10,MAX(0,S13/10)),2))</f>
        <v/>
      </c>
      <c r="Y13" s="11">
        <f>IF(COUNT(T13:X13)=0,"",ROUND(AVERAGE(T13:X13)*10,2))</f>
        <v/>
      </c>
      <c r="Z13" s="11">
        <f>IF(COUNT(I13,N13,Y13)=0,"",ROUND(AVERAGE(I13,N13,Y13),2))</f>
        <v/>
      </c>
      <c r="AA13" s="10" t="n"/>
      <c r="AB13" s="12">
        <f>IF(Z13="","",IF(AND(C13="With technical accuracy",NOT(ISNUMBER(AA13))),"Enter technical",ROUND(IF(AND(C13="With technical accuracy",ISNUMBER(AA13)),0.5*Z13+0.5*AA13*10,Z13),2)))</f>
        <v/>
      </c>
      <c r="AC13" s="12">
        <f>IF(NOT(ISNUMBER(AB13)),"",IF(AB13&gt;=90,"A+",IF(AB13&gt;=80,"A",IF(AB13&gt;=70,"B+",IF(AB13&gt;=60,"B",IF(AB13&gt;=50,"C+",IF(AB13&gt;=40,"C","F")))))))</f>
        <v/>
      </c>
      <c r="AD13" s="10" t="n"/>
      <c r="AE13" s="10" t="n"/>
      <c r="AF13" s="13" t="n"/>
    </row>
    <row r="14">
      <c r="A14" s="10" t="n"/>
      <c r="B14" s="10" t="n"/>
      <c r="C14" s="10" t="n"/>
      <c r="D14" s="10" t="n"/>
      <c r="E14" s="10" t="n"/>
      <c r="F14" s="10" t="n"/>
      <c r="G14" s="10" t="n"/>
      <c r="H14" s="10" t="n"/>
      <c r="I14" s="11">
        <f>IF(COUNT(D14:H14)=0,"",ROUND(AVERAGE(D14:H14)*10,2))</f>
        <v/>
      </c>
      <c r="J14" s="10" t="n"/>
      <c r="K14" s="10" t="n"/>
      <c r="L14" s="10" t="n"/>
      <c r="M14" s="10" t="n"/>
      <c r="N14" s="11">
        <f>IF(COUNT(J14:L14)=0,"",ROUND((SUM(J14:L14)+0.5*N(M14))/(COUNT(J14:L14)+0.5*COUNT(M14))*10,2))</f>
        <v/>
      </c>
      <c r="O14" s="10" t="n"/>
      <c r="P14" s="10" t="n"/>
      <c r="Q14" s="10" t="n"/>
      <c r="R14" s="10" t="n"/>
      <c r="S14" s="10" t="n"/>
      <c r="T14" s="11">
        <f>IF(O14="In band",10,IF(OR(O14="Too slow",O14="Too fast"),6.5,""))</f>
        <v/>
      </c>
      <c r="U14" s="11">
        <f>IF(P14="","",ROUND(10*MAX(0,1-P14/8),2))</f>
        <v/>
      </c>
      <c r="V14" s="11">
        <f>IF(Q14="","",ROUND(10*MAX(0,1-Q14/12),2))</f>
        <v/>
      </c>
      <c r="W14" s="11">
        <f>IF(R14="","",ROUND(10*MAX(0,1-R14/6),2))</f>
        <v/>
      </c>
      <c r="X14" s="11">
        <f>IF(S14="","",ROUND(MIN(10,MAX(0,S14/10)),2))</f>
        <v/>
      </c>
      <c r="Y14" s="11">
        <f>IF(COUNT(T14:X14)=0,"",ROUND(AVERAGE(T14:X14)*10,2))</f>
        <v/>
      </c>
      <c r="Z14" s="11">
        <f>IF(COUNT(I14,N14,Y14)=0,"",ROUND(AVERAGE(I14,N14,Y14),2))</f>
        <v/>
      </c>
      <c r="AA14" s="10" t="n"/>
      <c r="AB14" s="12">
        <f>IF(Z14="","",IF(AND(C14="With technical accuracy",NOT(ISNUMBER(AA14))),"Enter technical",ROUND(IF(AND(C14="With technical accuracy",ISNUMBER(AA14)),0.5*Z14+0.5*AA14*10,Z14),2)))</f>
        <v/>
      </c>
      <c r="AC14" s="12">
        <f>IF(NOT(ISNUMBER(AB14)),"",IF(AB14&gt;=90,"A+",IF(AB14&gt;=80,"A",IF(AB14&gt;=70,"B+",IF(AB14&gt;=60,"B",IF(AB14&gt;=50,"C+",IF(AB14&gt;=40,"C","F")))))))</f>
        <v/>
      </c>
      <c r="AD14" s="10" t="n"/>
      <c r="AE14" s="10" t="n"/>
      <c r="AF14" s="13" t="n"/>
    </row>
    <row r="15">
      <c r="A15" s="10" t="n"/>
      <c r="B15" s="10" t="n"/>
      <c r="C15" s="10" t="n"/>
      <c r="D15" s="10" t="n"/>
      <c r="E15" s="10" t="n"/>
      <c r="F15" s="10" t="n"/>
      <c r="G15" s="10" t="n"/>
      <c r="H15" s="10" t="n"/>
      <c r="I15" s="11">
        <f>IF(COUNT(D15:H15)=0,"",ROUND(AVERAGE(D15:H15)*10,2))</f>
        <v/>
      </c>
      <c r="J15" s="10" t="n"/>
      <c r="K15" s="10" t="n"/>
      <c r="L15" s="10" t="n"/>
      <c r="M15" s="10" t="n"/>
      <c r="N15" s="11">
        <f>IF(COUNT(J15:L15)=0,"",ROUND((SUM(J15:L15)+0.5*N(M15))/(COUNT(J15:L15)+0.5*COUNT(M15))*10,2))</f>
        <v/>
      </c>
      <c r="O15" s="10" t="n"/>
      <c r="P15" s="10" t="n"/>
      <c r="Q15" s="10" t="n"/>
      <c r="R15" s="10" t="n"/>
      <c r="S15" s="10" t="n"/>
      <c r="T15" s="11">
        <f>IF(O15="In band",10,IF(OR(O15="Too slow",O15="Too fast"),6.5,""))</f>
        <v/>
      </c>
      <c r="U15" s="11">
        <f>IF(P15="","",ROUND(10*MAX(0,1-P15/8),2))</f>
        <v/>
      </c>
      <c r="V15" s="11">
        <f>IF(Q15="","",ROUND(10*MAX(0,1-Q15/12),2))</f>
        <v/>
      </c>
      <c r="W15" s="11">
        <f>IF(R15="","",ROUND(10*MAX(0,1-R15/6),2))</f>
        <v/>
      </c>
      <c r="X15" s="11">
        <f>IF(S15="","",ROUND(MIN(10,MAX(0,S15/10)),2))</f>
        <v/>
      </c>
      <c r="Y15" s="11">
        <f>IF(COUNT(T15:X15)=0,"",ROUND(AVERAGE(T15:X15)*10,2))</f>
        <v/>
      </c>
      <c r="Z15" s="11">
        <f>IF(COUNT(I15,N15,Y15)=0,"",ROUND(AVERAGE(I15,N15,Y15),2))</f>
        <v/>
      </c>
      <c r="AA15" s="10" t="n"/>
      <c r="AB15" s="12">
        <f>IF(Z15="","",IF(AND(C15="With technical accuracy",NOT(ISNUMBER(AA15))),"Enter technical",ROUND(IF(AND(C15="With technical accuracy",ISNUMBER(AA15)),0.5*Z15+0.5*AA15*10,Z15),2)))</f>
        <v/>
      </c>
      <c r="AC15" s="12">
        <f>IF(NOT(ISNUMBER(AB15)),"",IF(AB15&gt;=90,"A+",IF(AB15&gt;=80,"A",IF(AB15&gt;=70,"B+",IF(AB15&gt;=60,"B",IF(AB15&gt;=50,"C+",IF(AB15&gt;=40,"C","F")))))))</f>
        <v/>
      </c>
      <c r="AD15" s="10" t="n"/>
      <c r="AE15" s="10" t="n"/>
      <c r="AF15" s="13" t="n"/>
    </row>
    <row r="16">
      <c r="A16" s="10" t="n"/>
      <c r="B16" s="10" t="n"/>
      <c r="C16" s="10" t="n"/>
      <c r="D16" s="10" t="n"/>
      <c r="E16" s="10" t="n"/>
      <c r="F16" s="10" t="n"/>
      <c r="G16" s="10" t="n"/>
      <c r="H16" s="10" t="n"/>
      <c r="I16" s="11">
        <f>IF(COUNT(D16:H16)=0,"",ROUND(AVERAGE(D16:H16)*10,2))</f>
        <v/>
      </c>
      <c r="J16" s="10" t="n"/>
      <c r="K16" s="10" t="n"/>
      <c r="L16" s="10" t="n"/>
      <c r="M16" s="10" t="n"/>
      <c r="N16" s="11">
        <f>IF(COUNT(J16:L16)=0,"",ROUND((SUM(J16:L16)+0.5*N(M16))/(COUNT(J16:L16)+0.5*COUNT(M16))*10,2))</f>
        <v/>
      </c>
      <c r="O16" s="10" t="n"/>
      <c r="P16" s="10" t="n"/>
      <c r="Q16" s="10" t="n"/>
      <c r="R16" s="10" t="n"/>
      <c r="S16" s="10" t="n"/>
      <c r="T16" s="11">
        <f>IF(O16="In band",10,IF(OR(O16="Too slow",O16="Too fast"),6.5,""))</f>
        <v/>
      </c>
      <c r="U16" s="11">
        <f>IF(P16="","",ROUND(10*MAX(0,1-P16/8),2))</f>
        <v/>
      </c>
      <c r="V16" s="11">
        <f>IF(Q16="","",ROUND(10*MAX(0,1-Q16/12),2))</f>
        <v/>
      </c>
      <c r="W16" s="11">
        <f>IF(R16="","",ROUND(10*MAX(0,1-R16/6),2))</f>
        <v/>
      </c>
      <c r="X16" s="11">
        <f>IF(S16="","",ROUND(MIN(10,MAX(0,S16/10)),2))</f>
        <v/>
      </c>
      <c r="Y16" s="11">
        <f>IF(COUNT(T16:X16)=0,"",ROUND(AVERAGE(T16:X16)*10,2))</f>
        <v/>
      </c>
      <c r="Z16" s="11">
        <f>IF(COUNT(I16,N16,Y16)=0,"",ROUND(AVERAGE(I16,N16,Y16),2))</f>
        <v/>
      </c>
      <c r="AA16" s="10" t="n"/>
      <c r="AB16" s="12">
        <f>IF(Z16="","",IF(AND(C16="With technical accuracy",NOT(ISNUMBER(AA16))),"Enter technical",ROUND(IF(AND(C16="With technical accuracy",ISNUMBER(AA16)),0.5*Z16+0.5*AA16*10,Z16),2)))</f>
        <v/>
      </c>
      <c r="AC16" s="12">
        <f>IF(NOT(ISNUMBER(AB16)),"",IF(AB16&gt;=90,"A+",IF(AB16&gt;=80,"A",IF(AB16&gt;=70,"B+",IF(AB16&gt;=60,"B",IF(AB16&gt;=50,"C+",IF(AB16&gt;=40,"C","F")))))))</f>
        <v/>
      </c>
      <c r="AD16" s="10" t="n"/>
      <c r="AE16" s="10" t="n"/>
      <c r="AF16" s="13" t="n"/>
    </row>
    <row r="17">
      <c r="A17" s="10" t="n"/>
      <c r="B17" s="10" t="n"/>
      <c r="C17" s="10" t="n"/>
      <c r="D17" s="10" t="n"/>
      <c r="E17" s="10" t="n"/>
      <c r="F17" s="10" t="n"/>
      <c r="G17" s="10" t="n"/>
      <c r="H17" s="10" t="n"/>
      <c r="I17" s="11">
        <f>IF(COUNT(D17:H17)=0,"",ROUND(AVERAGE(D17:H17)*10,2))</f>
        <v/>
      </c>
      <c r="J17" s="10" t="n"/>
      <c r="K17" s="10" t="n"/>
      <c r="L17" s="10" t="n"/>
      <c r="M17" s="10" t="n"/>
      <c r="N17" s="11">
        <f>IF(COUNT(J17:L17)=0,"",ROUND((SUM(J17:L17)+0.5*N(M17))/(COUNT(J17:L17)+0.5*COUNT(M17))*10,2))</f>
        <v/>
      </c>
      <c r="O17" s="10" t="n"/>
      <c r="P17" s="10" t="n"/>
      <c r="Q17" s="10" t="n"/>
      <c r="R17" s="10" t="n"/>
      <c r="S17" s="10" t="n"/>
      <c r="T17" s="11">
        <f>IF(O17="In band",10,IF(OR(O17="Too slow",O17="Too fast"),6.5,""))</f>
        <v/>
      </c>
      <c r="U17" s="11">
        <f>IF(P17="","",ROUND(10*MAX(0,1-P17/8),2))</f>
        <v/>
      </c>
      <c r="V17" s="11">
        <f>IF(Q17="","",ROUND(10*MAX(0,1-Q17/12),2))</f>
        <v/>
      </c>
      <c r="W17" s="11">
        <f>IF(R17="","",ROUND(10*MAX(0,1-R17/6),2))</f>
        <v/>
      </c>
      <c r="X17" s="11">
        <f>IF(S17="","",ROUND(MIN(10,MAX(0,S17/10)),2))</f>
        <v/>
      </c>
      <c r="Y17" s="11">
        <f>IF(COUNT(T17:X17)=0,"",ROUND(AVERAGE(T17:X17)*10,2))</f>
        <v/>
      </c>
      <c r="Z17" s="11">
        <f>IF(COUNT(I17,N17,Y17)=0,"",ROUND(AVERAGE(I17,N17,Y17),2))</f>
        <v/>
      </c>
      <c r="AA17" s="10" t="n"/>
      <c r="AB17" s="12">
        <f>IF(Z17="","",IF(AND(C17="With technical accuracy",NOT(ISNUMBER(AA17))),"Enter technical",ROUND(IF(AND(C17="With technical accuracy",ISNUMBER(AA17)),0.5*Z17+0.5*AA17*10,Z17),2)))</f>
        <v/>
      </c>
      <c r="AC17" s="12">
        <f>IF(NOT(ISNUMBER(AB17)),"",IF(AB17&gt;=90,"A+",IF(AB17&gt;=80,"A",IF(AB17&gt;=70,"B+",IF(AB17&gt;=60,"B",IF(AB17&gt;=50,"C+",IF(AB17&gt;=40,"C","F")))))))</f>
        <v/>
      </c>
      <c r="AD17" s="10" t="n"/>
      <c r="AE17" s="10" t="n"/>
      <c r="AF17" s="13" t="n"/>
    </row>
    <row r="18">
      <c r="A18" s="10" t="n"/>
      <c r="B18" s="10" t="n"/>
      <c r="C18" s="10" t="n"/>
      <c r="D18" s="10" t="n"/>
      <c r="E18" s="10" t="n"/>
      <c r="F18" s="10" t="n"/>
      <c r="G18" s="10" t="n"/>
      <c r="H18" s="10" t="n"/>
      <c r="I18" s="11">
        <f>IF(COUNT(D18:H18)=0,"",ROUND(AVERAGE(D18:H18)*10,2))</f>
        <v/>
      </c>
      <c r="J18" s="10" t="n"/>
      <c r="K18" s="10" t="n"/>
      <c r="L18" s="10" t="n"/>
      <c r="M18" s="10" t="n"/>
      <c r="N18" s="11">
        <f>IF(COUNT(J18:L18)=0,"",ROUND((SUM(J18:L18)+0.5*N(M18))/(COUNT(J18:L18)+0.5*COUNT(M18))*10,2))</f>
        <v/>
      </c>
      <c r="O18" s="10" t="n"/>
      <c r="P18" s="10" t="n"/>
      <c r="Q18" s="10" t="n"/>
      <c r="R18" s="10" t="n"/>
      <c r="S18" s="10" t="n"/>
      <c r="T18" s="11">
        <f>IF(O18="In band",10,IF(OR(O18="Too slow",O18="Too fast"),6.5,""))</f>
        <v/>
      </c>
      <c r="U18" s="11">
        <f>IF(P18="","",ROUND(10*MAX(0,1-P18/8),2))</f>
        <v/>
      </c>
      <c r="V18" s="11">
        <f>IF(Q18="","",ROUND(10*MAX(0,1-Q18/12),2))</f>
        <v/>
      </c>
      <c r="W18" s="11">
        <f>IF(R18="","",ROUND(10*MAX(0,1-R18/6),2))</f>
        <v/>
      </c>
      <c r="X18" s="11">
        <f>IF(S18="","",ROUND(MIN(10,MAX(0,S18/10)),2))</f>
        <v/>
      </c>
      <c r="Y18" s="11">
        <f>IF(COUNT(T18:X18)=0,"",ROUND(AVERAGE(T18:X18)*10,2))</f>
        <v/>
      </c>
      <c r="Z18" s="11">
        <f>IF(COUNT(I18,N18,Y18)=0,"",ROUND(AVERAGE(I18,N18,Y18),2))</f>
        <v/>
      </c>
      <c r="AA18" s="10" t="n"/>
      <c r="AB18" s="12">
        <f>IF(Z18="","",IF(AND(C18="With technical accuracy",NOT(ISNUMBER(AA18))),"Enter technical",ROUND(IF(AND(C18="With technical accuracy",ISNUMBER(AA18)),0.5*Z18+0.5*AA18*10,Z18),2)))</f>
        <v/>
      </c>
      <c r="AC18" s="12">
        <f>IF(NOT(ISNUMBER(AB18)),"",IF(AB18&gt;=90,"A+",IF(AB18&gt;=80,"A",IF(AB18&gt;=70,"B+",IF(AB18&gt;=60,"B",IF(AB18&gt;=50,"C+",IF(AB18&gt;=40,"C","F")))))))</f>
        <v/>
      </c>
      <c r="AD18" s="10" t="n"/>
      <c r="AE18" s="10" t="n"/>
      <c r="AF18" s="13" t="n"/>
    </row>
    <row r="19">
      <c r="A19" s="10" t="n"/>
      <c r="B19" s="10" t="n"/>
      <c r="C19" s="10" t="n"/>
      <c r="D19" s="10" t="n"/>
      <c r="E19" s="10" t="n"/>
      <c r="F19" s="10" t="n"/>
      <c r="G19" s="10" t="n"/>
      <c r="H19" s="10" t="n"/>
      <c r="I19" s="11">
        <f>IF(COUNT(D19:H19)=0,"",ROUND(AVERAGE(D19:H19)*10,2))</f>
        <v/>
      </c>
      <c r="J19" s="10" t="n"/>
      <c r="K19" s="10" t="n"/>
      <c r="L19" s="10" t="n"/>
      <c r="M19" s="10" t="n"/>
      <c r="N19" s="11">
        <f>IF(COUNT(J19:L19)=0,"",ROUND((SUM(J19:L19)+0.5*N(M19))/(COUNT(J19:L19)+0.5*COUNT(M19))*10,2))</f>
        <v/>
      </c>
      <c r="O19" s="10" t="n"/>
      <c r="P19" s="10" t="n"/>
      <c r="Q19" s="10" t="n"/>
      <c r="R19" s="10" t="n"/>
      <c r="S19" s="10" t="n"/>
      <c r="T19" s="11">
        <f>IF(O19="In band",10,IF(OR(O19="Too slow",O19="Too fast"),6.5,""))</f>
        <v/>
      </c>
      <c r="U19" s="11">
        <f>IF(P19="","",ROUND(10*MAX(0,1-P19/8),2))</f>
        <v/>
      </c>
      <c r="V19" s="11">
        <f>IF(Q19="","",ROUND(10*MAX(0,1-Q19/12),2))</f>
        <v/>
      </c>
      <c r="W19" s="11">
        <f>IF(R19="","",ROUND(10*MAX(0,1-R19/6),2))</f>
        <v/>
      </c>
      <c r="X19" s="11">
        <f>IF(S19="","",ROUND(MIN(10,MAX(0,S19/10)),2))</f>
        <v/>
      </c>
      <c r="Y19" s="11">
        <f>IF(COUNT(T19:X19)=0,"",ROUND(AVERAGE(T19:X19)*10,2))</f>
        <v/>
      </c>
      <c r="Z19" s="11">
        <f>IF(COUNT(I19,N19,Y19)=0,"",ROUND(AVERAGE(I19,N19,Y19),2))</f>
        <v/>
      </c>
      <c r="AA19" s="10" t="n"/>
      <c r="AB19" s="12">
        <f>IF(Z19="","",IF(AND(C19="With technical accuracy",NOT(ISNUMBER(AA19))),"Enter technical",ROUND(IF(AND(C19="With technical accuracy",ISNUMBER(AA19)),0.5*Z19+0.5*AA19*10,Z19),2)))</f>
        <v/>
      </c>
      <c r="AC19" s="12">
        <f>IF(NOT(ISNUMBER(AB19)),"",IF(AB19&gt;=90,"A+",IF(AB19&gt;=80,"A",IF(AB19&gt;=70,"B+",IF(AB19&gt;=60,"B",IF(AB19&gt;=50,"C+",IF(AB19&gt;=40,"C","F")))))))</f>
        <v/>
      </c>
      <c r="AD19" s="10" t="n"/>
      <c r="AE19" s="10" t="n"/>
      <c r="AF19" s="13" t="n"/>
    </row>
    <row r="20">
      <c r="A20" s="10" t="n"/>
      <c r="B20" s="10" t="n"/>
      <c r="C20" s="10" t="n"/>
      <c r="D20" s="10" t="n"/>
      <c r="E20" s="10" t="n"/>
      <c r="F20" s="10" t="n"/>
      <c r="G20" s="10" t="n"/>
      <c r="H20" s="10" t="n"/>
      <c r="I20" s="11">
        <f>IF(COUNT(D20:H20)=0,"",ROUND(AVERAGE(D20:H20)*10,2))</f>
        <v/>
      </c>
      <c r="J20" s="10" t="n"/>
      <c r="K20" s="10" t="n"/>
      <c r="L20" s="10" t="n"/>
      <c r="M20" s="10" t="n"/>
      <c r="N20" s="11">
        <f>IF(COUNT(J20:L20)=0,"",ROUND((SUM(J20:L20)+0.5*N(M20))/(COUNT(J20:L20)+0.5*COUNT(M20))*10,2))</f>
        <v/>
      </c>
      <c r="O20" s="10" t="n"/>
      <c r="P20" s="10" t="n"/>
      <c r="Q20" s="10" t="n"/>
      <c r="R20" s="10" t="n"/>
      <c r="S20" s="10" t="n"/>
      <c r="T20" s="11">
        <f>IF(O20="In band",10,IF(OR(O20="Too slow",O20="Too fast"),6.5,""))</f>
        <v/>
      </c>
      <c r="U20" s="11">
        <f>IF(P20="","",ROUND(10*MAX(0,1-P20/8),2))</f>
        <v/>
      </c>
      <c r="V20" s="11">
        <f>IF(Q20="","",ROUND(10*MAX(0,1-Q20/12),2))</f>
        <v/>
      </c>
      <c r="W20" s="11">
        <f>IF(R20="","",ROUND(10*MAX(0,1-R20/6),2))</f>
        <v/>
      </c>
      <c r="X20" s="11">
        <f>IF(S20="","",ROUND(MIN(10,MAX(0,S20/10)),2))</f>
        <v/>
      </c>
      <c r="Y20" s="11">
        <f>IF(COUNT(T20:X20)=0,"",ROUND(AVERAGE(T20:X20)*10,2))</f>
        <v/>
      </c>
      <c r="Z20" s="11">
        <f>IF(COUNT(I20,N20,Y20)=0,"",ROUND(AVERAGE(I20,N20,Y20),2))</f>
        <v/>
      </c>
      <c r="AA20" s="10" t="n"/>
      <c r="AB20" s="12">
        <f>IF(Z20="","",IF(AND(C20="With technical accuracy",NOT(ISNUMBER(AA20))),"Enter technical",ROUND(IF(AND(C20="With technical accuracy",ISNUMBER(AA20)),0.5*Z20+0.5*AA20*10,Z20),2)))</f>
        <v/>
      </c>
      <c r="AC20" s="12">
        <f>IF(NOT(ISNUMBER(AB20)),"",IF(AB20&gt;=90,"A+",IF(AB20&gt;=80,"A",IF(AB20&gt;=70,"B+",IF(AB20&gt;=60,"B",IF(AB20&gt;=50,"C+",IF(AB20&gt;=40,"C","F")))))))</f>
        <v/>
      </c>
      <c r="AD20" s="10" t="n"/>
      <c r="AE20" s="10" t="n"/>
      <c r="AF20" s="13" t="n"/>
    </row>
    <row r="21">
      <c r="A21" s="10" t="n"/>
      <c r="B21" s="10" t="n"/>
      <c r="C21" s="10" t="n"/>
      <c r="D21" s="10" t="n"/>
      <c r="E21" s="10" t="n"/>
      <c r="F21" s="10" t="n"/>
      <c r="G21" s="10" t="n"/>
      <c r="H21" s="10" t="n"/>
      <c r="I21" s="11">
        <f>IF(COUNT(D21:H21)=0,"",ROUND(AVERAGE(D21:H21)*10,2))</f>
        <v/>
      </c>
      <c r="J21" s="10" t="n"/>
      <c r="K21" s="10" t="n"/>
      <c r="L21" s="10" t="n"/>
      <c r="M21" s="10" t="n"/>
      <c r="N21" s="11">
        <f>IF(COUNT(J21:L21)=0,"",ROUND((SUM(J21:L21)+0.5*N(M21))/(COUNT(J21:L21)+0.5*COUNT(M21))*10,2))</f>
        <v/>
      </c>
      <c r="O21" s="10" t="n"/>
      <c r="P21" s="10" t="n"/>
      <c r="Q21" s="10" t="n"/>
      <c r="R21" s="10" t="n"/>
      <c r="S21" s="10" t="n"/>
      <c r="T21" s="11">
        <f>IF(O21="In band",10,IF(OR(O21="Too slow",O21="Too fast"),6.5,""))</f>
        <v/>
      </c>
      <c r="U21" s="11">
        <f>IF(P21="","",ROUND(10*MAX(0,1-P21/8),2))</f>
        <v/>
      </c>
      <c r="V21" s="11">
        <f>IF(Q21="","",ROUND(10*MAX(0,1-Q21/12),2))</f>
        <v/>
      </c>
      <c r="W21" s="11">
        <f>IF(R21="","",ROUND(10*MAX(0,1-R21/6),2))</f>
        <v/>
      </c>
      <c r="X21" s="11">
        <f>IF(S21="","",ROUND(MIN(10,MAX(0,S21/10)),2))</f>
        <v/>
      </c>
      <c r="Y21" s="11">
        <f>IF(COUNT(T21:X21)=0,"",ROUND(AVERAGE(T21:X21)*10,2))</f>
        <v/>
      </c>
      <c r="Z21" s="11">
        <f>IF(COUNT(I21,N21,Y21)=0,"",ROUND(AVERAGE(I21,N21,Y21),2))</f>
        <v/>
      </c>
      <c r="AA21" s="10" t="n"/>
      <c r="AB21" s="12">
        <f>IF(Z21="","",IF(AND(C21="With technical accuracy",NOT(ISNUMBER(AA21))),"Enter technical",ROUND(IF(AND(C21="With technical accuracy",ISNUMBER(AA21)),0.5*Z21+0.5*AA21*10,Z21),2)))</f>
        <v/>
      </c>
      <c r="AC21" s="12">
        <f>IF(NOT(ISNUMBER(AB21)),"",IF(AB21&gt;=90,"A+",IF(AB21&gt;=80,"A",IF(AB21&gt;=70,"B+",IF(AB21&gt;=60,"B",IF(AB21&gt;=50,"C+",IF(AB21&gt;=40,"C","F")))))))</f>
        <v/>
      </c>
      <c r="AD21" s="10" t="n"/>
      <c r="AE21" s="10" t="n"/>
      <c r="AF21" s="13" t="n"/>
    </row>
    <row r="22">
      <c r="A22" s="10" t="n"/>
      <c r="B22" s="10" t="n"/>
      <c r="C22" s="10" t="n"/>
      <c r="D22" s="10" t="n"/>
      <c r="E22" s="10" t="n"/>
      <c r="F22" s="10" t="n"/>
      <c r="G22" s="10" t="n"/>
      <c r="H22" s="10" t="n"/>
      <c r="I22" s="11">
        <f>IF(COUNT(D22:H22)=0,"",ROUND(AVERAGE(D22:H22)*10,2))</f>
        <v/>
      </c>
      <c r="J22" s="10" t="n"/>
      <c r="K22" s="10" t="n"/>
      <c r="L22" s="10" t="n"/>
      <c r="M22" s="10" t="n"/>
      <c r="N22" s="11">
        <f>IF(COUNT(J22:L22)=0,"",ROUND((SUM(J22:L22)+0.5*N(M22))/(COUNT(J22:L22)+0.5*COUNT(M22))*10,2))</f>
        <v/>
      </c>
      <c r="O22" s="10" t="n"/>
      <c r="P22" s="10" t="n"/>
      <c r="Q22" s="10" t="n"/>
      <c r="R22" s="10" t="n"/>
      <c r="S22" s="10" t="n"/>
      <c r="T22" s="11">
        <f>IF(O22="In band",10,IF(OR(O22="Too slow",O22="Too fast"),6.5,""))</f>
        <v/>
      </c>
      <c r="U22" s="11">
        <f>IF(P22="","",ROUND(10*MAX(0,1-P22/8),2))</f>
        <v/>
      </c>
      <c r="V22" s="11">
        <f>IF(Q22="","",ROUND(10*MAX(0,1-Q22/12),2))</f>
        <v/>
      </c>
      <c r="W22" s="11">
        <f>IF(R22="","",ROUND(10*MAX(0,1-R22/6),2))</f>
        <v/>
      </c>
      <c r="X22" s="11">
        <f>IF(S22="","",ROUND(MIN(10,MAX(0,S22/10)),2))</f>
        <v/>
      </c>
      <c r="Y22" s="11">
        <f>IF(COUNT(T22:X22)=0,"",ROUND(AVERAGE(T22:X22)*10,2))</f>
        <v/>
      </c>
      <c r="Z22" s="11">
        <f>IF(COUNT(I22,N22,Y22)=0,"",ROUND(AVERAGE(I22,N22,Y22),2))</f>
        <v/>
      </c>
      <c r="AA22" s="10" t="n"/>
      <c r="AB22" s="12">
        <f>IF(Z22="","",IF(AND(C22="With technical accuracy",NOT(ISNUMBER(AA22))),"Enter technical",ROUND(IF(AND(C22="With technical accuracy",ISNUMBER(AA22)),0.5*Z22+0.5*AA22*10,Z22),2)))</f>
        <v/>
      </c>
      <c r="AC22" s="12">
        <f>IF(NOT(ISNUMBER(AB22)),"",IF(AB22&gt;=90,"A+",IF(AB22&gt;=80,"A",IF(AB22&gt;=70,"B+",IF(AB22&gt;=60,"B",IF(AB22&gt;=50,"C+",IF(AB22&gt;=40,"C","F")))))))</f>
        <v/>
      </c>
      <c r="AD22" s="10" t="n"/>
      <c r="AE22" s="10" t="n"/>
      <c r="AF22" s="13" t="n"/>
    </row>
    <row r="23">
      <c r="A23" s="10" t="n"/>
      <c r="B23" s="10" t="n"/>
      <c r="C23" s="10" t="n"/>
      <c r="D23" s="10" t="n"/>
      <c r="E23" s="10" t="n"/>
      <c r="F23" s="10" t="n"/>
      <c r="G23" s="10" t="n"/>
      <c r="H23" s="10" t="n"/>
      <c r="I23" s="11">
        <f>IF(COUNT(D23:H23)=0,"",ROUND(AVERAGE(D23:H23)*10,2))</f>
        <v/>
      </c>
      <c r="J23" s="10" t="n"/>
      <c r="K23" s="10" t="n"/>
      <c r="L23" s="10" t="n"/>
      <c r="M23" s="10" t="n"/>
      <c r="N23" s="11">
        <f>IF(COUNT(J23:L23)=0,"",ROUND((SUM(J23:L23)+0.5*N(M23))/(COUNT(J23:L23)+0.5*COUNT(M23))*10,2))</f>
        <v/>
      </c>
      <c r="O23" s="10" t="n"/>
      <c r="P23" s="10" t="n"/>
      <c r="Q23" s="10" t="n"/>
      <c r="R23" s="10" t="n"/>
      <c r="S23" s="10" t="n"/>
      <c r="T23" s="11">
        <f>IF(O23="In band",10,IF(OR(O23="Too slow",O23="Too fast"),6.5,""))</f>
        <v/>
      </c>
      <c r="U23" s="11">
        <f>IF(P23="","",ROUND(10*MAX(0,1-P23/8),2))</f>
        <v/>
      </c>
      <c r="V23" s="11">
        <f>IF(Q23="","",ROUND(10*MAX(0,1-Q23/12),2))</f>
        <v/>
      </c>
      <c r="W23" s="11">
        <f>IF(R23="","",ROUND(10*MAX(0,1-R23/6),2))</f>
        <v/>
      </c>
      <c r="X23" s="11">
        <f>IF(S23="","",ROUND(MIN(10,MAX(0,S23/10)),2))</f>
        <v/>
      </c>
      <c r="Y23" s="11">
        <f>IF(COUNT(T23:X23)=0,"",ROUND(AVERAGE(T23:X23)*10,2))</f>
        <v/>
      </c>
      <c r="Z23" s="11">
        <f>IF(COUNT(I23,N23,Y23)=0,"",ROUND(AVERAGE(I23,N23,Y23),2))</f>
        <v/>
      </c>
      <c r="AA23" s="10" t="n"/>
      <c r="AB23" s="12">
        <f>IF(Z23="","",IF(AND(C23="With technical accuracy",NOT(ISNUMBER(AA23))),"Enter technical",ROUND(IF(AND(C23="With technical accuracy",ISNUMBER(AA23)),0.5*Z23+0.5*AA23*10,Z23),2)))</f>
        <v/>
      </c>
      <c r="AC23" s="12">
        <f>IF(NOT(ISNUMBER(AB23)),"",IF(AB23&gt;=90,"A+",IF(AB23&gt;=80,"A",IF(AB23&gt;=70,"B+",IF(AB23&gt;=60,"B",IF(AB23&gt;=50,"C+",IF(AB23&gt;=40,"C","F")))))))</f>
        <v/>
      </c>
      <c r="AD23" s="10" t="n"/>
      <c r="AE23" s="10" t="n"/>
      <c r="AF23" s="13" t="n"/>
    </row>
    <row r="24">
      <c r="A24" s="10" t="n"/>
      <c r="B24" s="10" t="n"/>
      <c r="C24" s="10" t="n"/>
      <c r="D24" s="10" t="n"/>
      <c r="E24" s="10" t="n"/>
      <c r="F24" s="10" t="n"/>
      <c r="G24" s="10" t="n"/>
      <c r="H24" s="10" t="n"/>
      <c r="I24" s="11">
        <f>IF(COUNT(D24:H24)=0,"",ROUND(AVERAGE(D24:H24)*10,2))</f>
        <v/>
      </c>
      <c r="J24" s="10" t="n"/>
      <c r="K24" s="10" t="n"/>
      <c r="L24" s="10" t="n"/>
      <c r="M24" s="10" t="n"/>
      <c r="N24" s="11">
        <f>IF(COUNT(J24:L24)=0,"",ROUND((SUM(J24:L24)+0.5*N(M24))/(COUNT(J24:L24)+0.5*COUNT(M24))*10,2))</f>
        <v/>
      </c>
      <c r="O24" s="10" t="n"/>
      <c r="P24" s="10" t="n"/>
      <c r="Q24" s="10" t="n"/>
      <c r="R24" s="10" t="n"/>
      <c r="S24" s="10" t="n"/>
      <c r="T24" s="11">
        <f>IF(O24="In band",10,IF(OR(O24="Too slow",O24="Too fast"),6.5,""))</f>
        <v/>
      </c>
      <c r="U24" s="11">
        <f>IF(P24="","",ROUND(10*MAX(0,1-P24/8),2))</f>
        <v/>
      </c>
      <c r="V24" s="11">
        <f>IF(Q24="","",ROUND(10*MAX(0,1-Q24/12),2))</f>
        <v/>
      </c>
      <c r="W24" s="11">
        <f>IF(R24="","",ROUND(10*MAX(0,1-R24/6),2))</f>
        <v/>
      </c>
      <c r="X24" s="11">
        <f>IF(S24="","",ROUND(MIN(10,MAX(0,S24/10)),2))</f>
        <v/>
      </c>
      <c r="Y24" s="11">
        <f>IF(COUNT(T24:X24)=0,"",ROUND(AVERAGE(T24:X24)*10,2))</f>
        <v/>
      </c>
      <c r="Z24" s="11">
        <f>IF(COUNT(I24,N24,Y24)=0,"",ROUND(AVERAGE(I24,N24,Y24),2))</f>
        <v/>
      </c>
      <c r="AA24" s="10" t="n"/>
      <c r="AB24" s="12">
        <f>IF(Z24="","",IF(AND(C24="With technical accuracy",NOT(ISNUMBER(AA24))),"Enter technical",ROUND(IF(AND(C24="With technical accuracy",ISNUMBER(AA24)),0.5*Z24+0.5*AA24*10,Z24),2)))</f>
        <v/>
      </c>
      <c r="AC24" s="12">
        <f>IF(NOT(ISNUMBER(AB24)),"",IF(AB24&gt;=90,"A+",IF(AB24&gt;=80,"A",IF(AB24&gt;=70,"B+",IF(AB24&gt;=60,"B",IF(AB24&gt;=50,"C+",IF(AB24&gt;=40,"C","F")))))))</f>
        <v/>
      </c>
      <c r="AD24" s="10" t="n"/>
      <c r="AE24" s="10" t="n"/>
      <c r="AF24" s="13" t="n"/>
    </row>
  </sheetData>
  <mergeCells count="6">
    <mergeCell ref="J3:N3"/>
    <mergeCell ref="O3:Y3"/>
    <mergeCell ref="Z3:AC3"/>
    <mergeCell ref="AD3:AF3"/>
    <mergeCell ref="A3:C3"/>
    <mergeCell ref="D3:I3"/>
  </mergeCells>
  <dataValidations count="6">
    <dataValidation sqref="C5:C24" showDropDown="0" showInputMessage="0" showErrorMessage="0" allowBlank="1" type="list">
      <formula1>"Without technical accuracy,With technical accuracy"</formula1>
    </dataValidation>
    <dataValidation sqref="O5:O24" showDropDown="0" showInputMessage="0" showErrorMessage="0" allowBlank="1" type="list">
      <formula1>"In band,Too slow,Too fast"</formula1>
    </dataValidation>
    <dataValidation sqref="AE5:AE24" showDropDown="0" showInputMessage="0" showErrorMessage="0" allowBlank="1" type="list">
      <formula1>"Yes,Yes, with a small change,No"</formula1>
    </dataValidation>
    <dataValidation sqref="D5:H24 J5:M24 AA5:AA24" showDropDown="0" showInputMessage="0" showErrorMessage="0" allowBlank="1" errorTitle="Out of range" error="Enter a number from 0 to 10." type="decimal" operator="between">
      <formula1>0</formula1>
      <formula2>10</formula2>
    </dataValidation>
    <dataValidation sqref="P5:R24" showDropDown="0" showInputMessage="0" showErrorMessage="0" allowBlank="1" errorTitle="Invalid count" error="Enter a whole number, 0 or more." type="whole" operator="greaterThanOrEqual">
      <formula1>0</formula1>
    </dataValidation>
    <dataValidation sqref="S5:S24 AD5:AD24" showDropDown="0" showInputMessage="0" showErrorMessage="0" allowBlank="1" errorTitle="Out of range" error="Enter a number from 0 to 100." type="decimal"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18" customWidth="1" min="1" max="1"/>
  </cols>
  <sheetData>
    <row r="1">
      <c r="A1" s="5" t="inlineStr">
        <is>
          <t>Conversion reference (used by the Marking sheet formulas)</t>
        </is>
      </c>
    </row>
    <row r="3">
      <c r="A3" t="inlineStr">
        <is>
          <t>Score out of 10 = 10 x (1 - n / limit), never below 0.   Limits: hedges 8, fillers 12, long pauses 6.</t>
        </is>
      </c>
    </row>
    <row r="5">
      <c r="A5" s="14" t="inlineStr">
        <is>
          <t>Count n</t>
        </is>
      </c>
      <c r="B5" s="14" t="n">
        <v>0</v>
      </c>
      <c r="C5" s="14" t="n">
        <v>1</v>
      </c>
      <c r="D5" s="14" t="n">
        <v>2</v>
      </c>
      <c r="E5" s="14" t="n">
        <v>3</v>
      </c>
      <c r="F5" s="14" t="n">
        <v>4</v>
      </c>
      <c r="G5" s="14" t="n">
        <v>5</v>
      </c>
      <c r="H5" s="14" t="n">
        <v>6</v>
      </c>
      <c r="I5" s="14" t="n">
        <v>7</v>
      </c>
      <c r="J5" s="14" t="n">
        <v>8</v>
      </c>
      <c r="K5" s="14" t="n">
        <v>9</v>
      </c>
      <c r="L5" s="14" t="n">
        <v>10</v>
      </c>
      <c r="M5" s="14" t="n">
        <v>11</v>
      </c>
      <c r="N5" s="14" t="n">
        <v>12</v>
      </c>
    </row>
    <row r="6">
      <c r="A6" s="15" t="inlineStr">
        <is>
          <t>Hedge phrases</t>
        </is>
      </c>
      <c r="B6" s="16" t="n">
        <v>10</v>
      </c>
      <c r="C6" s="16" t="n">
        <v>8.75</v>
      </c>
      <c r="D6" s="16" t="n">
        <v>7.5</v>
      </c>
      <c r="E6" s="16" t="n">
        <v>6.25</v>
      </c>
      <c r="F6" s="16" t="n">
        <v>5</v>
      </c>
      <c r="G6" s="16" t="n">
        <v>3.75</v>
      </c>
      <c r="H6" s="16" t="n">
        <v>2.5</v>
      </c>
      <c r="I6" s="16" t="n">
        <v>1.25</v>
      </c>
      <c r="J6" s="16" t="n">
        <v>0</v>
      </c>
      <c r="K6" s="16" t="n">
        <v>0</v>
      </c>
      <c r="L6" s="16" t="n">
        <v>0</v>
      </c>
      <c r="M6" s="16" t="n">
        <v>0</v>
      </c>
      <c r="N6" s="16" t="n">
        <v>0</v>
      </c>
    </row>
    <row r="7">
      <c r="A7" s="15" t="inlineStr">
        <is>
          <t>Filler words</t>
        </is>
      </c>
      <c r="B7" s="16" t="n">
        <v>10</v>
      </c>
      <c r="C7" s="16" t="n">
        <v>9.17</v>
      </c>
      <c r="D7" s="16" t="n">
        <v>8.33</v>
      </c>
      <c r="E7" s="16" t="n">
        <v>7.5</v>
      </c>
      <c r="F7" s="16" t="n">
        <v>6.67</v>
      </c>
      <c r="G7" s="16" t="n">
        <v>5.83</v>
      </c>
      <c r="H7" s="16" t="n">
        <v>5</v>
      </c>
      <c r="I7" s="16" t="n">
        <v>4.17</v>
      </c>
      <c r="J7" s="16" t="n">
        <v>3.33</v>
      </c>
      <c r="K7" s="16" t="n">
        <v>2.5</v>
      </c>
      <c r="L7" s="16" t="n">
        <v>1.67</v>
      </c>
      <c r="M7" s="16" t="n">
        <v>0.83</v>
      </c>
      <c r="N7" s="16" t="n">
        <v>0</v>
      </c>
    </row>
    <row r="8">
      <c r="A8" s="15" t="inlineStr">
        <is>
          <t>Long pauses</t>
        </is>
      </c>
      <c r="B8" s="16" t="n">
        <v>10</v>
      </c>
      <c r="C8" s="16" t="n">
        <v>8.33</v>
      </c>
      <c r="D8" s="16" t="n">
        <v>6.67</v>
      </c>
      <c r="E8" s="16" t="n">
        <v>5</v>
      </c>
      <c r="F8" s="16" t="n">
        <v>3.33</v>
      </c>
      <c r="G8" s="16" t="n">
        <v>1.67</v>
      </c>
      <c r="H8" s="16" t="n">
        <v>0</v>
      </c>
      <c r="I8" s="16" t="n">
        <v>0</v>
      </c>
      <c r="J8" s="16" t="n">
        <v>0</v>
      </c>
      <c r="K8" s="16" t="n">
        <v>0</v>
      </c>
      <c r="L8" s="16" t="n">
        <v>0</v>
      </c>
      <c r="M8" s="16" t="n">
        <v>0</v>
      </c>
      <c r="N8" s="16" t="n">
        <v>0</v>
      </c>
    </row>
    <row r="10">
      <c r="A10" t="inlineStr">
        <is>
          <t>Pace: 120-160 words per minute = In band (10). Too slow or too fast = 6.5.</t>
        </is>
      </c>
    </row>
    <row r="11">
      <c r="A11" t="inlineStr">
        <is>
          <t>Sentence completion: score = percent of sentences completed / 10.</t>
        </is>
      </c>
    </row>
    <row r="13">
      <c r="A13" s="6" t="inlineStr">
        <is>
          <t>Grade bands</t>
        </is>
      </c>
    </row>
    <row r="14">
      <c r="A14" t="inlineStr">
        <is>
          <t>A+</t>
        </is>
      </c>
      <c r="B14" t="inlineStr">
        <is>
          <t>90-100</t>
        </is>
      </c>
    </row>
    <row r="15">
      <c r="A15" t="inlineStr">
        <is>
          <t>A</t>
        </is>
      </c>
      <c r="B15" t="inlineStr">
        <is>
          <t>80-89</t>
        </is>
      </c>
    </row>
    <row r="16">
      <c r="A16" t="inlineStr">
        <is>
          <t>B+</t>
        </is>
      </c>
      <c r="B16" t="inlineStr">
        <is>
          <t>70-79</t>
        </is>
      </c>
    </row>
    <row r="17">
      <c r="A17" t="inlineStr">
        <is>
          <t>B</t>
        </is>
      </c>
      <c r="B17" t="inlineStr">
        <is>
          <t>60-69</t>
        </is>
      </c>
    </row>
    <row r="18">
      <c r="A18" t="inlineStr">
        <is>
          <t>C+</t>
        </is>
      </c>
      <c r="B18" t="inlineStr">
        <is>
          <t>50-59</t>
        </is>
      </c>
    </row>
    <row r="19">
      <c r="A19" t="inlineStr">
        <is>
          <t>C</t>
        </is>
      </c>
      <c r="B19" t="inlineStr">
        <is>
          <t>40-49</t>
        </is>
      </c>
    </row>
    <row r="20">
      <c r="A20" t="inlineStr">
        <is>
          <t>F</t>
        </is>
      </c>
      <c r="B20" t="inlineStr">
        <is>
          <t>0-39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2026-10-16T10:52:02Z</dcterms:created>
  <dcterms:modified xmlns:dcterms="http://purl.org/dc/terms/" xmlns:xsi="http://www.w3.org/2001/XMLSchema-instance" xsi:type="dcterms:W3CDTF">2026-10-16T10:52:02Z</dcterms:modified>
</cp:coreProperties>
</file>